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ckerle\Documents\studies\calibration\"/>
    </mc:Choice>
  </mc:AlternateContent>
  <bookViews>
    <workbookView xWindow="0" yWindow="0" windowWidth="28800" windowHeight="12456" tabRatio="769" activeTab="1"/>
  </bookViews>
  <sheets>
    <sheet name="reprocess" sheetId="2" r:id="rId1"/>
    <sheet name="reprocess_temperatures" sheetId="9" r:id="rId2"/>
    <sheet name="manufacturer data" sheetId="7" r:id="rId3"/>
    <sheet name="station IDs" sheetId="8" r:id="rId4"/>
  </sheets>
  <definedNames>
    <definedName name="_xlcn.WorksheetConnection_reprocess.xlsxreprocess1" hidden="1">reprocess[]</definedName>
    <definedName name="ExternalData_1" localSheetId="2" hidden="1">'manufacturer data'!$A$1:$H$21</definedName>
    <definedName name="ExternalData_1" localSheetId="0" hidden="1">reprocess!$A$1:$BG$109</definedName>
    <definedName name="ExternalData_1" localSheetId="3" hidden="1">'station IDs'!$A$1:$D$21</definedName>
  </definedName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process" name="reprocess" connection="WorksheetConnection_reprocess.xlsx!reprocess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Query - CalibrationSheetsDerived" description="Connection to the 'CalibrationSheetsDerived' query in the workbook." type="5" refreshedVersion="6" background="1" saveData="1">
    <dbPr connection="Provider=Microsoft.Mashup.OleDb.1;Data Source=$Workbook$;Location=CalibrationSheetsDerived;Extended Properties=&quot;&quot;" command="SELECT * FROM [CalibrationSheetsDerived]"/>
  </connection>
  <connection id="2" keepAlive="1" name="Query - CalibrationSheetsDerived (2)" description="Connection to the 'CalibrationSheetsDerived (2)' query in the workbook." type="5" refreshedVersion="6" background="1" saveData="1">
    <dbPr connection="Provider=Microsoft.Mashup.OleDb.1;Data Source=$Workbook$;Location=&quot;CalibrationSheetsDerived (2)&quot;;Extended Properties=&quot;&quot;" command="SELECT * FROM [CalibrationSheetsDerived (2)]"/>
  </connection>
  <connection id="3" keepAlive="1" name="Query - reprocess" description="Connection to the 'reprocess' query in the workbook." type="5" refreshedVersion="6" background="1" saveData="1">
    <dbPr connection="Provider=Microsoft.Mashup.OleDb.1;Data Source=$Workbook$;Location=reprocess;Extended Properties=&quot;&quot;" command="SELECT * FROM [reprocess]"/>
  </connection>
  <connection id="4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name="WorksheetConnection_reprocess.xlsx!reprocess" type="102" refreshedVersion="6" minRefreshableVersion="5">
    <extLst>
      <ext xmlns:x15="http://schemas.microsoft.com/office/spreadsheetml/2010/11/main" uri="{DE250136-89BD-433C-8126-D09CA5730AF9}">
        <x15:connection id="reprocess" autoDelete="1">
          <x15:rangePr sourceName="_xlcn.WorksheetConnection_reprocess.xlsxreprocess1"/>
        </x15:connection>
      </ext>
    </extLst>
  </connection>
</connections>
</file>

<file path=xl/sharedStrings.xml><?xml version="1.0" encoding="utf-8"?>
<sst xmlns="http://schemas.openxmlformats.org/spreadsheetml/2006/main" count="1083" uniqueCount="174">
  <si>
    <t>year</t>
  </si>
  <si>
    <t>station_code</t>
  </si>
  <si>
    <t>channel id</t>
  </si>
  <si>
    <t>start</t>
  </si>
  <si>
    <t>duration [s]</t>
  </si>
  <si>
    <t>f_min [Hz]</t>
  </si>
  <si>
    <t>f_max [Hz]</t>
  </si>
  <si>
    <t>windows</t>
  </si>
  <si>
    <t>gain [dB]</t>
  </si>
  <si>
    <t>phase [°]</t>
  </si>
  <si>
    <t>normalized error</t>
  </si>
  <si>
    <t>temperature [°C]</t>
  </si>
  <si>
    <t xml:space="preserve">f_max [Hz] </t>
  </si>
  <si>
    <t>gain</t>
  </si>
  <si>
    <t>delta_t</t>
  </si>
  <si>
    <t>findpeaks_calib</t>
  </si>
  <si>
    <t>sensor_model</t>
  </si>
  <si>
    <t>sensor_id</t>
  </si>
  <si>
    <t>Kg</t>
  </si>
  <si>
    <t>Rg</t>
  </si>
  <si>
    <t>CDR</t>
  </si>
  <si>
    <t>Rd</t>
  </si>
  <si>
    <t>Km</t>
  </si>
  <si>
    <t>M</t>
  </si>
  <si>
    <t>Rm</t>
  </si>
  <si>
    <t>f0</t>
  </si>
  <si>
    <t>lambda_x</t>
  </si>
  <si>
    <t>preamp_model</t>
  </si>
  <si>
    <t>preamp_id</t>
  </si>
  <si>
    <t>Kp</t>
  </si>
  <si>
    <t>Kc</t>
  </si>
  <si>
    <t>Rp</t>
  </si>
  <si>
    <t>digitizer_model</t>
  </si>
  <si>
    <t>digitizer_id</t>
  </si>
  <si>
    <t>Si</t>
  </si>
  <si>
    <t>Kd</t>
  </si>
  <si>
    <t>So</t>
  </si>
  <si>
    <t>Rc</t>
  </si>
  <si>
    <t>Sg</t>
  </si>
  <si>
    <t>lambda0</t>
  </si>
  <si>
    <t>Sd</t>
  </si>
  <si>
    <t>kappa_g</t>
  </si>
  <si>
    <t>kappa_c</t>
  </si>
  <si>
    <t>NCALPER</t>
  </si>
  <si>
    <t>NCALIB0</t>
  </si>
  <si>
    <t>gain0</t>
  </si>
  <si>
    <t>NCALIB</t>
  </si>
  <si>
    <t>gain_expected</t>
  </si>
  <si>
    <t>fc</t>
  </si>
  <si>
    <t>findpeaks_room</t>
  </si>
  <si>
    <t>gain_room</t>
  </si>
  <si>
    <t>findpeaks_deviation</t>
  </si>
  <si>
    <t>findpeaks_room_deviation</t>
  </si>
  <si>
    <t>gain_deviation</t>
  </si>
  <si>
    <t>gain_room_deviation</t>
  </si>
  <si>
    <t>findpeaks_drift</t>
  </si>
  <si>
    <t>findpeaks_room_drift</t>
  </si>
  <si>
    <t>gain_drift</t>
  </si>
  <si>
    <t>gain_room_drift</t>
  </si>
  <si>
    <t>2015</t>
  </si>
  <si>
    <t>YKAB0</t>
  </si>
  <si>
    <t>.3292..HHZ</t>
  </si>
  <si>
    <t>S-13</t>
  </si>
  <si>
    <t>MAN-ELP-0110</t>
  </si>
  <si>
    <t>G18331</t>
  </si>
  <si>
    <t>CMG-DM24</t>
  </si>
  <si>
    <t>A3292</t>
  </si>
  <si>
    <t>YKAB1</t>
  </si>
  <si>
    <t>.3085..HHZ</t>
  </si>
  <si>
    <t>G18317</t>
  </si>
  <si>
    <t>A3085</t>
  </si>
  <si>
    <t>YKAB2</t>
  </si>
  <si>
    <t>.3087..HHZ</t>
  </si>
  <si>
    <t>G18338</t>
  </si>
  <si>
    <t>A3087</t>
  </si>
  <si>
    <t>YKAB3</t>
  </si>
  <si>
    <t>.3080..HHZ</t>
  </si>
  <si>
    <t>G18318</t>
  </si>
  <si>
    <t>A3080</t>
  </si>
  <si>
    <t>YKAB4</t>
  </si>
  <si>
    <t>.3180..HHZ</t>
  </si>
  <si>
    <t>G18326</t>
  </si>
  <si>
    <t>A3180</t>
  </si>
  <si>
    <t>YKAB6</t>
  </si>
  <si>
    <t>.3036..HHZ</t>
  </si>
  <si>
    <t>G18335</t>
  </si>
  <si>
    <t>A3036</t>
  </si>
  <si>
    <t>YKAB7</t>
  </si>
  <si>
    <t>.3086..HHZ</t>
  </si>
  <si>
    <t>G18337</t>
  </si>
  <si>
    <t>A3086</t>
  </si>
  <si>
    <t>YKAB8</t>
  </si>
  <si>
    <t>.3028..HHZ</t>
  </si>
  <si>
    <t>G18336</t>
  </si>
  <si>
    <t>A4549</t>
  </si>
  <si>
    <t>YKAB9</t>
  </si>
  <si>
    <t>.3072..HHZ</t>
  </si>
  <si>
    <t>G18320</t>
  </si>
  <si>
    <t>A3072</t>
  </si>
  <si>
    <t>YKAR1</t>
  </si>
  <si>
    <t>.3079..HHZ</t>
  </si>
  <si>
    <t>G18321</t>
  </si>
  <si>
    <t>A3079</t>
  </si>
  <si>
    <t>YKAR2</t>
  </si>
  <si>
    <t>.3076..HHZ</t>
  </si>
  <si>
    <t>G18332</t>
  </si>
  <si>
    <t>A3076</t>
  </si>
  <si>
    <t>YKAR3</t>
  </si>
  <si>
    <t>.3073..HHZ</t>
  </si>
  <si>
    <t>G18334</t>
  </si>
  <si>
    <t>A3073</t>
  </si>
  <si>
    <t>YKAR4</t>
  </si>
  <si>
    <t>.3081..HHZ</t>
  </si>
  <si>
    <t>G18333</t>
  </si>
  <si>
    <t>A3081</t>
  </si>
  <si>
    <t>YKAR5</t>
  </si>
  <si>
    <t>.3077..HHZ</t>
  </si>
  <si>
    <t>G18325</t>
  </si>
  <si>
    <t>A3077</t>
  </si>
  <si>
    <t>YKAR6</t>
  </si>
  <si>
    <t>.3038..HHZ</t>
  </si>
  <si>
    <t>G18324</t>
  </si>
  <si>
    <t>A3038</t>
  </si>
  <si>
    <t>YKAR7</t>
  </si>
  <si>
    <t>.3074..HHZ</t>
  </si>
  <si>
    <t>G18329</t>
  </si>
  <si>
    <t>A3074</t>
  </si>
  <si>
    <t>YKAR8</t>
  </si>
  <si>
    <t>.2165..HHZ</t>
  </si>
  <si>
    <t>G18330</t>
  </si>
  <si>
    <t>A2165</t>
  </si>
  <si>
    <t>YKAR9</t>
  </si>
  <si>
    <t>.3291..HHZ</t>
  </si>
  <si>
    <t>G18322</t>
  </si>
  <si>
    <t>A3291</t>
  </si>
  <si>
    <t>2016</t>
  </si>
  <si>
    <t>.4549..HHZ</t>
  </si>
  <si>
    <t>2017</t>
  </si>
  <si>
    <t>2018</t>
  </si>
  <si>
    <t>2019</t>
  </si>
  <si>
    <t>mean</t>
  </si>
  <si>
    <t>.3028..HHZ,.4549..HHZ</t>
  </si>
  <si>
    <t>Grand Total</t>
  </si>
  <si>
    <t/>
  </si>
  <si>
    <t>nominal</t>
  </si>
  <si>
    <t>2340</t>
  </si>
  <si>
    <t>2338</t>
  </si>
  <si>
    <t>2342</t>
  </si>
  <si>
    <t>2343</t>
  </si>
  <si>
    <t>831</t>
  </si>
  <si>
    <t>2345</t>
  </si>
  <si>
    <t>2347</t>
  </si>
  <si>
    <t>2493</t>
  </si>
  <si>
    <t>2348</t>
  </si>
  <si>
    <t>1192</t>
  </si>
  <si>
    <t>832</t>
  </si>
  <si>
    <t>822</t>
  </si>
  <si>
    <t>2474</t>
  </si>
  <si>
    <t>2349</t>
  </si>
  <si>
    <t>2350</t>
  </si>
  <si>
    <t>2911</t>
  </si>
  <si>
    <t>1466</t>
  </si>
  <si>
    <t>954</t>
  </si>
  <si>
    <t>TEST1</t>
  </si>
  <si>
    <t>2567</t>
  </si>
  <si>
    <t>A3082</t>
  </si>
  <si>
    <t>Total A [%]</t>
  </si>
  <si>
    <t>A [%]</t>
  </si>
  <si>
    <t>Total R [%]</t>
  </si>
  <si>
    <t>R [%]</t>
  </si>
  <si>
    <t>Total G</t>
  </si>
  <si>
    <t>G</t>
  </si>
  <si>
    <t>Total T [°C]</t>
  </si>
  <si>
    <t>T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</si>
</sst>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"/>
    <numFmt numFmtId="166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000"/>
    </dxf>
    <dxf>
      <numFmt numFmtId="166" formatCode="0.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167" formatCode="0.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0.0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9" formatCode="0.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68" formatCode="0.0000000"/>
    </dxf>
    <dxf>
      <numFmt numFmtId="170" formatCode="0.00000000"/>
    </dxf>
    <dxf>
      <numFmt numFmtId="170" formatCode="0.00000000"/>
    </dxf>
    <dxf>
      <numFmt numFmtId="170" formatCode="0.00000000"/>
    </dxf>
    <dxf>
      <numFmt numFmtId="170" formatCode="0.00000000"/>
    </dxf>
    <dxf>
      <numFmt numFmtId="170" formatCode="0.00000000"/>
    </dxf>
    <dxf>
      <numFmt numFmtId="170" formatCode="0.00000000"/>
    </dxf>
    <dxf>
      <numFmt numFmtId="170" formatCode="0.00000000"/>
    </dxf>
    <dxf>
      <numFmt numFmtId="170" formatCode="0.00000000"/>
    </dxf>
    <dxf>
      <numFmt numFmtId="170" formatCode="0.00000000"/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ckerley, Nicholas" refreshedDate="44151.476024884258" backgroundQuery="1" createdVersion="6" refreshedVersion="6" minRefreshableVersion="3" recordCount="0" supportSubquery="1" supportAdvancedDrill="1">
  <cacheSource type="external" connectionId="4"/>
  <cacheFields count="6">
    <cacheField name="[reprocess].[year].[year]" caption="year" numFmtId="0" level="1">
      <sharedItems count="5">
        <s v="2015"/>
        <s v="2016"/>
        <s v="2017"/>
        <s v="2018"/>
        <s v="2019"/>
      </sharedItems>
    </cacheField>
    <cacheField name="[reprocess].[station_code].[station_code]" caption="station_code" numFmtId="0" hierarchy="1" level="1">
      <sharedItems count="18">
        <s v="YKAB0"/>
        <s v="YKAB1"/>
        <s v="YKAB2"/>
        <s v="YKAB3"/>
        <s v="YKAB4"/>
        <s v="YKAB6"/>
        <s v="YKAB7"/>
        <s v="YKAB8"/>
        <s v="YKAB9"/>
        <s v="YKAR1"/>
        <s v="YKAR2"/>
        <s v="YKAR3"/>
        <s v="YKAR4"/>
        <s v="YKAR5"/>
        <s v="YKAR6"/>
        <s v="YKAR7"/>
        <s v="YKAR8"/>
        <s v="YKAR9"/>
      </sharedItems>
    </cacheField>
    <cacheField name="[Measures].[Average of gain_room_drift]" caption="Average of gain_room_drift" numFmtId="0" hierarchy="65" level="32767"/>
    <cacheField name="[Measures].[Average of gain_deviation]" caption="Average of gain_deviation" numFmtId="0" hierarchy="67" level="32767"/>
    <cacheField name="[Measures].[Average of temperature [°C]]]" caption="Average of temperature [°C]" numFmtId="0" hierarchy="70" level="32767"/>
    <cacheField name="[Measures].[Average of gain]" caption="Average of gain" numFmtId="0" hierarchy="73" level="32767"/>
  </cacheFields>
  <cacheHierarchies count="74">
    <cacheHierarchy uniqueName="[reprocess].[year]" caption="year" attribute="1" defaultMemberUniqueName="[reprocess].[year].[All]" allUniqueName="[reprocess].[year].[All]" dimensionUniqueName="[reprocess]" displayFolder="" count="2" memberValueDatatype="130" unbalanced="0">
      <fieldsUsage count="2">
        <fieldUsage x="-1"/>
        <fieldUsage x="0"/>
      </fieldsUsage>
    </cacheHierarchy>
    <cacheHierarchy uniqueName="[reprocess].[station_code]" caption="station_code" attribute="1" defaultMemberUniqueName="[reprocess].[station_code].[All]" allUniqueName="[reprocess].[station_code].[All]" dimensionUniqueName="[reprocess]" displayFolder="" count="2" memberValueDatatype="130" unbalanced="0">
      <fieldsUsage count="2">
        <fieldUsage x="-1"/>
        <fieldUsage x="1"/>
      </fieldsUsage>
    </cacheHierarchy>
    <cacheHierarchy uniqueName="[reprocess].[channel id]" caption="channel id" attribute="1" defaultMemberUniqueName="[reprocess].[channel id].[All]" allUniqueName="[reprocess].[channel id].[All]" dimensionUniqueName="[reprocess]" displayFolder="" count="0" memberValueDatatype="130" unbalanced="0"/>
    <cacheHierarchy uniqueName="[reprocess].[start]" caption="start" attribute="1" time="1" defaultMemberUniqueName="[reprocess].[start].[All]" allUniqueName="[reprocess].[start].[All]" dimensionUniqueName="[reprocess]" displayFolder="" count="0" memberValueDatatype="7" unbalanced="0"/>
    <cacheHierarchy uniqueName="[reprocess].[duration [s]]]" caption="duration [s]" attribute="1" defaultMemberUniqueName="[reprocess].[duration [s]]].[All]" allUniqueName="[reprocess].[duration [s]]].[All]" dimensionUniqueName="[reprocess]" displayFolder="" count="0" memberValueDatatype="5" unbalanced="0"/>
    <cacheHierarchy uniqueName="[reprocess].[f_min [Hz]]]" caption="f_min [Hz]" attribute="1" defaultMemberUniqueName="[reprocess].[f_min [Hz]]].[All]" allUniqueName="[reprocess].[f_min [Hz]]].[All]" dimensionUniqueName="[reprocess]" displayFolder="" count="0" memberValueDatatype="5" unbalanced="0"/>
    <cacheHierarchy uniqueName="[reprocess].[f_max [Hz]]]" caption="f_max [Hz]" attribute="1" defaultMemberUniqueName="[reprocess].[f_max [Hz]]].[All]" allUniqueName="[reprocess].[f_max [Hz]]].[All]" dimensionUniqueName="[reprocess]" displayFolder="" count="0" memberValueDatatype="20" unbalanced="0"/>
    <cacheHierarchy uniqueName="[reprocess].[windows]" caption="windows" attribute="1" defaultMemberUniqueName="[reprocess].[windows].[All]" allUniqueName="[reprocess].[windows].[All]" dimensionUniqueName="[reprocess]" displayFolder="" count="0" memberValueDatatype="5" unbalanced="0"/>
    <cacheHierarchy uniqueName="[reprocess].[gain [dB]]]" caption="gain [dB]" attribute="1" defaultMemberUniqueName="[reprocess].[gain [dB]]].[All]" allUniqueName="[reprocess].[gain [dB]]].[All]" dimensionUniqueName="[reprocess]" displayFolder="" count="0" memberValueDatatype="5" unbalanced="0"/>
    <cacheHierarchy uniqueName="[reprocess].[phase [°]]]" caption="phase [°]" attribute="1" defaultMemberUniqueName="[reprocess].[phase [°]]].[All]" allUniqueName="[reprocess].[phase [°]]].[All]" dimensionUniqueName="[reprocess]" displayFolder="" count="0" memberValueDatatype="5" unbalanced="0"/>
    <cacheHierarchy uniqueName="[reprocess].[normalized error]" caption="normalized error" attribute="1" defaultMemberUniqueName="[reprocess].[normalized error].[All]" allUniqueName="[reprocess].[normalized error].[All]" dimensionUniqueName="[reprocess]" displayFolder="" count="0" memberValueDatatype="5" unbalanced="0"/>
    <cacheHierarchy uniqueName="[reprocess].[temperature [°C]]]" caption="temperature [°C]" attribute="1" defaultMemberUniqueName="[reprocess].[temperature [°C]]].[All]" allUniqueName="[reprocess].[temperature [°C]]].[All]" dimensionUniqueName="[reprocess]" displayFolder="" count="0" memberValueDatatype="5" unbalanced="0"/>
    <cacheHierarchy uniqueName="[reprocess].[f_max [Hz]]2]" caption="f_max [Hz]2" attribute="1" defaultMemberUniqueName="[reprocess].[f_max [Hz]]2].[All]" allUniqueName="[reprocess].[f_max [Hz]]2].[All]" dimensionUniqueName="[reprocess]" displayFolder="" count="0" memberValueDatatype="20" unbalanced="0"/>
    <cacheHierarchy uniqueName="[reprocess].[gain]" caption="gain" attribute="1" defaultMemberUniqueName="[reprocess].[gain].[All]" allUniqueName="[reprocess].[gain].[All]" dimensionUniqueName="[reprocess]" displayFolder="" count="0" memberValueDatatype="5" unbalanced="0"/>
    <cacheHierarchy uniqueName="[reprocess].[delta_t]" caption="delta_t" attribute="1" defaultMemberUniqueName="[reprocess].[delta_t].[All]" allUniqueName="[reprocess].[delta_t].[All]" dimensionUniqueName="[reprocess]" displayFolder="" count="0" memberValueDatatype="5" unbalanced="0"/>
    <cacheHierarchy uniqueName="[reprocess].[findpeaks_calib]" caption="findpeaks_calib" attribute="1" defaultMemberUniqueName="[reprocess].[findpeaks_calib].[All]" allUniqueName="[reprocess].[findpeaks_calib].[All]" dimensionUniqueName="[reprocess]" displayFolder="" count="0" memberValueDatatype="5" unbalanced="0"/>
    <cacheHierarchy uniqueName="[reprocess].[sensor_model]" caption="sensor_model" attribute="1" defaultMemberUniqueName="[reprocess].[sensor_model].[All]" allUniqueName="[reprocess].[sensor_model].[All]" dimensionUniqueName="[reprocess]" displayFolder="" count="0" memberValueDatatype="130" unbalanced="0"/>
    <cacheHierarchy uniqueName="[reprocess].[sensor_id]" caption="sensor_id" attribute="1" defaultMemberUniqueName="[reprocess].[sensor_id].[All]" allUniqueName="[reprocess].[sensor_id].[All]" dimensionUniqueName="[reprocess]" displayFolder="" count="0" memberValueDatatype="20" unbalanced="0"/>
    <cacheHierarchy uniqueName="[reprocess].[Kg]" caption="Kg" attribute="1" defaultMemberUniqueName="[reprocess].[Kg].[All]" allUniqueName="[reprocess].[Kg].[All]" dimensionUniqueName="[reprocess]" displayFolder="" count="0" memberValueDatatype="5" unbalanced="0"/>
    <cacheHierarchy uniqueName="[reprocess].[Rg]" caption="Rg" attribute="1" defaultMemberUniqueName="[reprocess].[Rg].[All]" allUniqueName="[reprocess].[Rg].[All]" dimensionUniqueName="[reprocess]" displayFolder="" count="0" memberValueDatatype="20" unbalanced="0"/>
    <cacheHierarchy uniqueName="[reprocess].[CDR]" caption="CDR" attribute="1" defaultMemberUniqueName="[reprocess].[CDR].[All]" allUniqueName="[reprocess].[CDR].[All]" dimensionUniqueName="[reprocess]" displayFolder="" count="0" memberValueDatatype="20" unbalanced="0"/>
    <cacheHierarchy uniqueName="[reprocess].[Rd]" caption="Rd" attribute="1" defaultMemberUniqueName="[reprocess].[Rd].[All]" allUniqueName="[reprocess].[Rd].[All]" dimensionUniqueName="[reprocess]" displayFolder="" count="0" memberValueDatatype="20" unbalanced="0"/>
    <cacheHierarchy uniqueName="[reprocess].[Km]" caption="Km" attribute="1" defaultMemberUniqueName="[reprocess].[Km].[All]" allUniqueName="[reprocess].[Km].[All]" dimensionUniqueName="[reprocess]" displayFolder="" count="0" memberValueDatatype="5" unbalanced="0"/>
    <cacheHierarchy uniqueName="[reprocess].[M]" caption="M" attribute="1" defaultMemberUniqueName="[reprocess].[M].[All]" allUniqueName="[reprocess].[M].[All]" dimensionUniqueName="[reprocess]" displayFolder="" count="0" memberValueDatatype="20" unbalanced="0"/>
    <cacheHierarchy uniqueName="[reprocess].[Rm]" caption="Rm" attribute="1" defaultMemberUniqueName="[reprocess].[Rm].[All]" allUniqueName="[reprocess].[Rm].[All]" dimensionUniqueName="[reprocess]" displayFolder="" count="0" memberValueDatatype="20" unbalanced="0"/>
    <cacheHierarchy uniqueName="[reprocess].[f0]" caption="f0" attribute="1" defaultMemberUniqueName="[reprocess].[f0].[All]" allUniqueName="[reprocess].[f0].[All]" dimensionUniqueName="[reprocess]" displayFolder="" count="0" memberValueDatatype="20" unbalanced="0"/>
    <cacheHierarchy uniqueName="[reprocess].[lambda_x]" caption="lambda_x" attribute="1" defaultMemberUniqueName="[reprocess].[lambda_x].[All]" allUniqueName="[reprocess].[lambda_x].[All]" dimensionUniqueName="[reprocess]" displayFolder="" count="0" memberValueDatatype="5" unbalanced="0"/>
    <cacheHierarchy uniqueName="[reprocess].[preamp_model]" caption="preamp_model" attribute="1" defaultMemberUniqueName="[reprocess].[preamp_model].[All]" allUniqueName="[reprocess].[preamp_model].[All]" dimensionUniqueName="[reprocess]" displayFolder="" count="0" memberValueDatatype="130" unbalanced="0"/>
    <cacheHierarchy uniqueName="[reprocess].[preamp_id]" caption="preamp_id" attribute="1" defaultMemberUniqueName="[reprocess].[preamp_id].[All]" allUniqueName="[reprocess].[preamp_id].[All]" dimensionUniqueName="[reprocess]" displayFolder="" count="0" memberValueDatatype="130" unbalanced="0"/>
    <cacheHierarchy uniqueName="[reprocess].[Kp]" caption="Kp" attribute="1" defaultMemberUniqueName="[reprocess].[Kp].[All]" allUniqueName="[reprocess].[Kp].[All]" dimensionUniqueName="[reprocess]" displayFolder="" count="0" memberValueDatatype="20" unbalanced="0"/>
    <cacheHierarchy uniqueName="[reprocess].[Kc]" caption="Kc" attribute="1" defaultMemberUniqueName="[reprocess].[Kc].[All]" allUniqueName="[reprocess].[Kc].[All]" dimensionUniqueName="[reprocess]" displayFolder="" count="0" memberValueDatatype="5" unbalanced="0"/>
    <cacheHierarchy uniqueName="[reprocess].[Rp]" caption="Rp" attribute="1" defaultMemberUniqueName="[reprocess].[Rp].[All]" allUniqueName="[reprocess].[Rp].[All]" dimensionUniqueName="[reprocess]" displayFolder="" count="0" memberValueDatatype="20" unbalanced="0"/>
    <cacheHierarchy uniqueName="[reprocess].[digitizer_model]" caption="digitizer_model" attribute="1" defaultMemberUniqueName="[reprocess].[digitizer_model].[All]" allUniqueName="[reprocess].[digitizer_model].[All]" dimensionUniqueName="[reprocess]" displayFolder="" count="0" memberValueDatatype="130" unbalanced="0"/>
    <cacheHierarchy uniqueName="[reprocess].[digitizer_id]" caption="digitizer_id" attribute="1" defaultMemberUniqueName="[reprocess].[digitizer_id].[All]" allUniqueName="[reprocess].[digitizer_id].[All]" dimensionUniqueName="[reprocess]" displayFolder="" count="0" memberValueDatatype="130" unbalanced="0"/>
    <cacheHierarchy uniqueName="[reprocess].[Si]" caption="Si" attribute="1" defaultMemberUniqueName="[reprocess].[Si].[All]" allUniqueName="[reprocess].[Si].[All]" dimensionUniqueName="[reprocess]" displayFolder="" count="0" memberValueDatatype="5" unbalanced="0"/>
    <cacheHierarchy uniqueName="[reprocess].[Kd]" caption="Kd" attribute="1" defaultMemberUniqueName="[reprocess].[Kd].[All]" allUniqueName="[reprocess].[Kd].[All]" dimensionUniqueName="[reprocess]" displayFolder="" count="0" memberValueDatatype="20" unbalanced="0"/>
    <cacheHierarchy uniqueName="[reprocess].[So]" caption="So" attribute="1" defaultMemberUniqueName="[reprocess].[So].[All]" allUniqueName="[reprocess].[So].[All]" dimensionUniqueName="[reprocess]" displayFolder="" count="0" memberValueDatatype="5" unbalanced="0"/>
    <cacheHierarchy uniqueName="[reprocess].[Rc]" caption="Rc" attribute="1" defaultMemberUniqueName="[reprocess].[Rc].[All]" allUniqueName="[reprocess].[Rc].[All]" dimensionUniqueName="[reprocess]" displayFolder="" count="0" memberValueDatatype="5" unbalanced="0"/>
    <cacheHierarchy uniqueName="[reprocess].[Sg]" caption="Sg" attribute="1" defaultMemberUniqueName="[reprocess].[Sg].[All]" allUniqueName="[reprocess].[Sg].[All]" dimensionUniqueName="[reprocess]" displayFolder="" count="0" memberValueDatatype="5" unbalanced="0"/>
    <cacheHierarchy uniqueName="[reprocess].[lambda0]" caption="lambda0" attribute="1" defaultMemberUniqueName="[reprocess].[lambda0].[All]" allUniqueName="[reprocess].[lambda0].[All]" dimensionUniqueName="[reprocess]" displayFolder="" count="0" memberValueDatatype="5" unbalanced="0"/>
    <cacheHierarchy uniqueName="[reprocess].[Sd]" caption="Sd" attribute="1" defaultMemberUniqueName="[reprocess].[Sd].[All]" allUniqueName="[reprocess].[Sd].[All]" dimensionUniqueName="[reprocess]" displayFolder="" count="0" memberValueDatatype="5" unbalanced="0"/>
    <cacheHierarchy uniqueName="[reprocess].[kappa_g]" caption="kappa_g" attribute="1" defaultMemberUniqueName="[reprocess].[kappa_g].[All]" allUniqueName="[reprocess].[kappa_g].[All]" dimensionUniqueName="[reprocess]" displayFolder="" count="0" memberValueDatatype="5" unbalanced="0"/>
    <cacheHierarchy uniqueName="[reprocess].[kappa_c]" caption="kappa_c" attribute="1" defaultMemberUniqueName="[reprocess].[kappa_c].[All]" allUniqueName="[reprocess].[kappa_c].[All]" dimensionUniqueName="[reprocess]" displayFolder="" count="0" memberValueDatatype="5" unbalanced="0"/>
    <cacheHierarchy uniqueName="[reprocess].[NCALPER]" caption="NCALPER" attribute="1" defaultMemberUniqueName="[reprocess].[NCALPER].[All]" allUniqueName="[reprocess].[NCALPER].[All]" dimensionUniqueName="[reprocess]" displayFolder="" count="0" memberValueDatatype="5" unbalanced="0"/>
    <cacheHierarchy uniqueName="[reprocess].[NCALIB0]" caption="NCALIB0" attribute="1" defaultMemberUniqueName="[reprocess].[NCALIB0].[All]" allUniqueName="[reprocess].[NCALIB0].[All]" dimensionUniqueName="[reprocess]" displayFolder="" count="0" memberValueDatatype="5" unbalanced="0"/>
    <cacheHierarchy uniqueName="[reprocess].[gain0]" caption="gain0" attribute="1" defaultMemberUniqueName="[reprocess].[gain0].[All]" allUniqueName="[reprocess].[gain0].[All]" dimensionUniqueName="[reprocess]" displayFolder="" count="0" memberValueDatatype="5" unbalanced="0"/>
    <cacheHierarchy uniqueName="[reprocess].[NCALIB]" caption="NCALIB" attribute="1" defaultMemberUniqueName="[reprocess].[NCALIB].[All]" allUniqueName="[reprocess].[NCALIB].[All]" dimensionUniqueName="[reprocess]" displayFolder="" count="0" memberValueDatatype="5" unbalanced="0"/>
    <cacheHierarchy uniqueName="[reprocess].[gain_expected]" caption="gain_expected" attribute="1" defaultMemberUniqueName="[reprocess].[gain_expected].[All]" allUniqueName="[reprocess].[gain_expected].[All]" dimensionUniqueName="[reprocess]" displayFolder="" count="0" memberValueDatatype="5" unbalanced="0"/>
    <cacheHierarchy uniqueName="[reprocess].[fc]" caption="fc" attribute="1" defaultMemberUniqueName="[reprocess].[fc].[All]" allUniqueName="[reprocess].[fc].[All]" dimensionUniqueName="[reprocess]" displayFolder="" count="0" memberValueDatatype="20" unbalanced="0"/>
    <cacheHierarchy uniqueName="[reprocess].[findpeaks_room]" caption="findpeaks_room" attribute="1" defaultMemberUniqueName="[reprocess].[findpeaks_room].[All]" allUniqueName="[reprocess].[findpeaks_room].[All]" dimensionUniqueName="[reprocess]" displayFolder="" count="0" memberValueDatatype="5" unbalanced="0"/>
    <cacheHierarchy uniqueName="[reprocess].[gain_room]" caption="gain_room" attribute="1" defaultMemberUniqueName="[reprocess].[gain_room].[All]" allUniqueName="[reprocess].[gain_room].[All]" dimensionUniqueName="[reprocess]" displayFolder="" count="0" memberValueDatatype="5" unbalanced="0"/>
    <cacheHierarchy uniqueName="[reprocess].[findpeaks_deviation]" caption="findpeaks_deviation" attribute="1" defaultMemberUniqueName="[reprocess].[findpeaks_deviation].[All]" allUniqueName="[reprocess].[findpeaks_deviation].[All]" dimensionUniqueName="[reprocess]" displayFolder="" count="0" memberValueDatatype="5" unbalanced="0"/>
    <cacheHierarchy uniqueName="[reprocess].[findpeaks_room_deviation]" caption="findpeaks_room_deviation" attribute="1" defaultMemberUniqueName="[reprocess].[findpeaks_room_deviation].[All]" allUniqueName="[reprocess].[findpeaks_room_deviation].[All]" dimensionUniqueName="[reprocess]" displayFolder="" count="0" memberValueDatatype="5" unbalanced="0"/>
    <cacheHierarchy uniqueName="[reprocess].[gain_deviation]" caption="gain_deviation" attribute="1" defaultMemberUniqueName="[reprocess].[gain_deviation].[All]" allUniqueName="[reprocess].[gain_deviation].[All]" dimensionUniqueName="[reprocess]" displayFolder="" count="0" memberValueDatatype="5" unbalanced="0"/>
    <cacheHierarchy uniqueName="[reprocess].[gain_room_deviation]" caption="gain_room_deviation" attribute="1" defaultMemberUniqueName="[reprocess].[gain_room_deviation].[All]" allUniqueName="[reprocess].[gain_room_deviation].[All]" dimensionUniqueName="[reprocess]" displayFolder="" count="0" memberValueDatatype="5" unbalanced="0"/>
    <cacheHierarchy uniqueName="[reprocess].[findpeaks_drift]" caption="findpeaks_drift" attribute="1" defaultMemberUniqueName="[reprocess].[findpeaks_drift].[All]" allUniqueName="[reprocess].[findpeaks_drift].[All]" dimensionUniqueName="[reprocess]" displayFolder="" count="0" memberValueDatatype="5" unbalanced="0"/>
    <cacheHierarchy uniqueName="[reprocess].[findpeaks_room_drift]" caption="findpeaks_room_drift" attribute="1" defaultMemberUniqueName="[reprocess].[findpeaks_room_drift].[All]" allUniqueName="[reprocess].[findpeaks_room_drift].[All]" dimensionUniqueName="[reprocess]" displayFolder="" count="0" memberValueDatatype="5" unbalanced="0"/>
    <cacheHierarchy uniqueName="[reprocess].[gain_drift]" caption="gain_drift" attribute="1" defaultMemberUniqueName="[reprocess].[gain_drift].[All]" allUniqueName="[reprocess].[gain_drift].[All]" dimensionUniqueName="[reprocess]" displayFolder="" count="0" memberValueDatatype="5" unbalanced="0"/>
    <cacheHierarchy uniqueName="[reprocess].[gain_room_drift]" caption="gain_room_drift" attribute="1" defaultMemberUniqueName="[reprocess].[gain_room_drift].[All]" allUniqueName="[reprocess].[gain_room_drift].[All]" dimensionUniqueName="[reprocess]" displayFolder="" count="0" memberValueDatatype="5" unbalanced="0"/>
    <cacheHierarchy uniqueName="[Measures].[__XL_Count reprocess]" caption="__XL_Count reprocess" measure="1" displayFolder="" measureGroup="reprocess" count="0" hidden="1"/>
    <cacheHierarchy uniqueName="[Measures].[__No measures defined]" caption="__No measures defined" measure="1" displayFolder="" count="0" hidden="1"/>
    <cacheHierarchy uniqueName="[Measures].[Sum of gain_expected]" caption="Sum of gain_expected" measure="1" displayFolder="" measureGroup="reproces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gain_expected]" caption="Average of gain_expected" measure="1" displayFolder="" measureGroup="reproces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gain0]" caption="Sum of gain0" measure="1" displayFolder="" measureGroup="reproces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gain_room_drift]" caption="Sum of gain_room_drift" measure="1" displayFolder="" measureGroup="reproces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gain_room_drift]" caption="Average of gain_room_drift" measure="1" displayFolder="" measureGroup="reproces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gain_deviation]" caption="Sum of gain_deviation" measure="1" displayFolder="" measureGroup="reproces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gain_deviation]" caption="Average of gain_deviation" measure="1" displayFolder="" measureGroup="reproces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NCALIB]" caption="Sum of NCALIB" measure="1" displayFolder="" measureGroup="reproces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temperature [°C]]]" caption="Sum of temperature [°C]" measure="1" displayFolder="" measureGroup="reproces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emperature [°C]]]" caption="Average of temperature [°C]" measure="1" displayFolder="" measureGroup="reproces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NCALIB]" caption="Average of NCALIB" measure="1" displayFolder="" measureGroup="reproces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gain]" caption="Sum of gain" measure="1" displayFolder="" measureGroup="reproces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gain]" caption="Average of gain" measure="1" displayFolder="" measureGroup="reproces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reprocess" uniqueName="[reprocess]" caption="reprocess"/>
  </dimensions>
  <measureGroups count="1">
    <measureGroup name="reprocess" caption="reproces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>
  <location ref="A1:Y21" firstHeaderRow="0" firstDataRow="2" firstDataCol="1"/>
  <pivotFields count="6">
    <pivotField axis="axisCol" allDrilled="1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  <pivotField axis="axisRow" allDrilled="1" showAll="0" dataSourceSort="1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0"/>
    <field x="-2"/>
  </colFields>
  <colItems count="24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>
      <x v="4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G" fld="5" subtotal="average" baseField="1" baseItem="0"/>
    <dataField name="A [%]" fld="3" subtotal="average" baseField="1" baseItem="0"/>
    <dataField name="R [%]" fld="2" subtotal="average" baseField="1" baseItem="0"/>
    <dataField name="T [°C]" fld="4" subtotal="average" baseField="1" baseItem="0"/>
  </dataFields>
  <formats count="366">
    <format dxfId="436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435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434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format>
    <format dxfId="433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format>
    <format dxfId="432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431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format>
    <format dxfId="430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format>
    <format dxfId="429">
      <pivotArea outline="0" collapsedLevelsAreSubtotals="1" fieldPosition="0">
        <references count="2">
          <reference field="4294967294" count="2" selected="0">
            <x v="1"/>
            <x v="2"/>
          </reference>
          <reference field="0" count="1" selected="0">
            <x v="4"/>
          </reference>
        </references>
      </pivotArea>
    </format>
    <format dxfId="428">
      <pivotArea field="0" grandCol="1" outline="0" collapsedLevelsAreSubtotals="1" axis="axisCol" fieldPosition="0">
        <references count="1">
          <reference field="4294967294" count="2" selected="0">
            <x v="1"/>
            <x v="2"/>
          </reference>
        </references>
      </pivotArea>
    </format>
    <format dxfId="427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426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425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format>
    <format dxfId="424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format>
    <format dxfId="423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422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format>
    <format dxfId="421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format>
    <format dxfId="420">
      <pivotArea outline="0" collapsedLevelsAreSubtotals="1" fieldPosition="0">
        <references count="2">
          <reference field="4294967294" count="2" selected="0">
            <x v="1"/>
            <x v="2"/>
          </reference>
          <reference field="0" count="1" selected="0">
            <x v="4"/>
          </reference>
        </references>
      </pivotArea>
    </format>
    <format dxfId="419">
      <pivotArea field="0" grandCol="1" outline="0" collapsedLevelsAreSubtotals="1" axis="axisCol" fieldPosition="0">
        <references count="1">
          <reference field="4294967294" count="2" selected="0">
            <x v="1"/>
            <x v="2"/>
          </reference>
        </references>
      </pivotArea>
    </format>
    <format dxfId="418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417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416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format>
    <format dxfId="415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format>
    <format dxfId="414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413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format>
    <format dxfId="412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format>
    <format dxfId="411">
      <pivotArea outline="0" collapsedLevelsAreSubtotals="1" fieldPosition="0">
        <references count="2">
          <reference field="4294967294" count="2" selected="0">
            <x v="1"/>
            <x v="2"/>
          </reference>
          <reference field="0" count="1" selected="0">
            <x v="4"/>
          </reference>
        </references>
      </pivotArea>
    </format>
    <format dxfId="410">
      <pivotArea field="0" grandCol="1" outline="0" collapsedLevelsAreSubtotals="1" axis="axisCol" fieldPosition="0">
        <references count="1">
          <reference field="4294967294" count="2" selected="0">
            <x v="1"/>
            <x v="2"/>
          </reference>
        </references>
      </pivotArea>
    </format>
    <format dxfId="409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408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407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format>
    <format dxfId="406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format>
    <format dxfId="405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404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format>
    <format dxfId="403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format>
    <format dxfId="402">
      <pivotArea outline="0" collapsedLevelsAreSubtotals="1" fieldPosition="0">
        <references count="2">
          <reference field="4294967294" count="2" selected="0">
            <x v="1"/>
            <x v="2"/>
          </reference>
          <reference field="0" count="1" selected="0">
            <x v="4"/>
          </reference>
        </references>
      </pivotArea>
    </format>
    <format dxfId="401">
      <pivotArea field="0" grandCol="1" outline="0" collapsedLevelsAreSubtotals="1" axis="axisCol" fieldPosition="0">
        <references count="1">
          <reference field="4294967294" count="2" selected="0">
            <x v="1"/>
            <x v="2"/>
          </reference>
        </references>
      </pivotArea>
    </format>
    <format dxfId="400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399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398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format>
    <format dxfId="397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format>
    <format dxfId="396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395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format>
    <format dxfId="394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format>
    <format dxfId="393">
      <pivotArea outline="0" collapsedLevelsAreSubtotals="1" fieldPosition="0">
        <references count="2">
          <reference field="4294967294" count="2" selected="0">
            <x v="1"/>
            <x v="2"/>
          </reference>
          <reference field="0" count="1" selected="0">
            <x v="4"/>
          </reference>
        </references>
      </pivotArea>
    </format>
    <format dxfId="392">
      <pivotArea field="0" grandCol="1" outline="0" collapsedLevelsAreSubtotals="1" axis="axisCol" fieldPosition="0">
        <references count="1">
          <reference field="4294967294" count="2" selected="0">
            <x v="1"/>
            <x v="2"/>
          </reference>
        </references>
      </pivotArea>
    </format>
    <format dxfId="391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390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389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format>
    <format dxfId="388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format>
    <format dxfId="387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386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format>
    <format dxfId="385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format>
    <format dxfId="384">
      <pivotArea outline="0" collapsedLevelsAreSubtotals="1" fieldPosition="0">
        <references count="2">
          <reference field="4294967294" count="2" selected="0">
            <x v="1"/>
            <x v="2"/>
          </reference>
          <reference field="0" count="1" selected="0">
            <x v="4"/>
          </reference>
        </references>
      </pivotArea>
    </format>
    <format dxfId="383">
      <pivotArea field="0" grandCol="1" outline="0" collapsedLevelsAreSubtotals="1" axis="axisCol" fieldPosition="0">
        <references count="1">
          <reference field="4294967294" count="2" selected="0">
            <x v="1"/>
            <x v="2"/>
          </reference>
        </references>
      </pivotArea>
    </format>
    <format dxfId="382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381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380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format>
    <format dxfId="379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format>
    <format dxfId="378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377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format>
    <format dxfId="376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format>
    <format dxfId="375">
      <pivotArea outline="0" collapsedLevelsAreSubtotals="1" fieldPosition="0">
        <references count="2">
          <reference field="4294967294" count="2" selected="0">
            <x v="1"/>
            <x v="2"/>
          </reference>
          <reference field="0" count="1" selected="0">
            <x v="4"/>
          </reference>
        </references>
      </pivotArea>
    </format>
    <format dxfId="374">
      <pivotArea field="0" grandCol="1" outline="0" collapsedLevelsAreSubtotals="1" axis="axisCol" fieldPosition="0">
        <references count="1">
          <reference field="4294967294" count="2" selected="0">
            <x v="1"/>
            <x v="2"/>
          </reference>
        </references>
      </pivotArea>
    </format>
    <format dxfId="373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372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371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format>
    <format dxfId="370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format>
    <format dxfId="369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368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format>
    <format dxfId="367">
      <pivotArea outline="0" collapsedLevelsAreSubtotals="1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format>
    <format dxfId="366">
      <pivotArea outline="0" collapsedLevelsAreSubtotals="1" fieldPosition="0">
        <references count="2">
          <reference field="4294967294" count="2" selected="0">
            <x v="1"/>
            <x v="2"/>
          </reference>
          <reference field="0" count="1" selected="0">
            <x v="4"/>
          </reference>
        </references>
      </pivotArea>
    </format>
    <format dxfId="365">
      <pivotArea field="0" grandCol="1" outline="0" collapsedLevelsAreSubtotals="1" axis="axisCol" fieldPosition="0">
        <references count="1">
          <reference field="4294967294" count="2" selected="0">
            <x v="1"/>
            <x v="2"/>
          </reference>
        </references>
      </pivotArea>
    </format>
    <format dxfId="364">
      <pivotArea dataOnly="0" labelOnly="1" fieldPosition="0">
        <references count="1">
          <reference field="0" count="1">
            <x v="0"/>
          </reference>
        </references>
      </pivotArea>
    </format>
    <format dxfId="363">
      <pivotArea dataOnly="0" labelOnly="1" fieldPosition="0">
        <references count="1">
          <reference field="0" count="1">
            <x v="1"/>
          </reference>
        </references>
      </pivotArea>
    </format>
    <format dxfId="362">
      <pivotArea dataOnly="0" labelOnly="1" fieldPosition="0">
        <references count="1">
          <reference field="0" count="1">
            <x v="2"/>
          </reference>
        </references>
      </pivotArea>
    </format>
    <format dxfId="361">
      <pivotArea dataOnly="0" labelOnly="1" fieldPosition="0">
        <references count="1">
          <reference field="0" count="1">
            <x v="3"/>
          </reference>
        </references>
      </pivotArea>
    </format>
    <format dxfId="360">
      <pivotArea dataOnly="0" labelOnly="1" fieldPosition="0">
        <references count="1">
          <reference field="0" count="1">
            <x v="4"/>
          </reference>
        </references>
      </pivotArea>
    </format>
    <format dxfId="359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8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57">
      <pivotArea dataOnly="0" labelOnly="1" fieldPosition="0">
        <references count="1">
          <reference field="0" count="1">
            <x v="0"/>
          </reference>
        </references>
      </pivotArea>
    </format>
    <format dxfId="356">
      <pivotArea dataOnly="0" labelOnly="1" fieldPosition="0">
        <references count="1">
          <reference field="0" count="1">
            <x v="1"/>
          </reference>
        </references>
      </pivotArea>
    </format>
    <format dxfId="355">
      <pivotArea dataOnly="0" labelOnly="1" fieldPosition="0">
        <references count="1">
          <reference field="0" count="1">
            <x v="2"/>
          </reference>
        </references>
      </pivotArea>
    </format>
    <format dxfId="354">
      <pivotArea dataOnly="0" labelOnly="1" fieldPosition="0">
        <references count="1">
          <reference field="0" count="1">
            <x v="3"/>
          </reference>
        </references>
      </pivotArea>
    </format>
    <format dxfId="353">
      <pivotArea dataOnly="0" labelOnly="1" fieldPosition="0">
        <references count="1">
          <reference field="0" count="1">
            <x v="4"/>
          </reference>
        </references>
      </pivotArea>
    </format>
    <format dxfId="352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1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50">
      <pivotArea dataOnly="0" labelOnly="1" fieldPosition="0">
        <references count="1">
          <reference field="0" count="1">
            <x v="0"/>
          </reference>
        </references>
      </pivotArea>
    </format>
    <format dxfId="349">
      <pivotArea dataOnly="0" labelOnly="1" fieldPosition="0">
        <references count="1">
          <reference field="0" count="1">
            <x v="1"/>
          </reference>
        </references>
      </pivotArea>
    </format>
    <format dxfId="348">
      <pivotArea dataOnly="0" labelOnly="1" fieldPosition="0">
        <references count="1">
          <reference field="0" count="1">
            <x v="2"/>
          </reference>
        </references>
      </pivotArea>
    </format>
    <format dxfId="347">
      <pivotArea dataOnly="0" labelOnly="1" fieldPosition="0">
        <references count="1">
          <reference field="0" count="1">
            <x v="3"/>
          </reference>
        </references>
      </pivotArea>
    </format>
    <format dxfId="346">
      <pivotArea dataOnly="0" labelOnly="1" fieldPosition="0">
        <references count="1">
          <reference field="0" count="1">
            <x v="4"/>
          </reference>
        </references>
      </pivotArea>
    </format>
    <format dxfId="345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44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43">
      <pivotArea dataOnly="0" labelOnly="1" fieldPosition="0">
        <references count="1">
          <reference field="0" count="1">
            <x v="0"/>
          </reference>
        </references>
      </pivotArea>
    </format>
    <format dxfId="342">
      <pivotArea dataOnly="0" labelOnly="1" fieldPosition="0">
        <references count="1">
          <reference field="0" count="1">
            <x v="1"/>
          </reference>
        </references>
      </pivotArea>
    </format>
    <format dxfId="341">
      <pivotArea dataOnly="0" labelOnly="1" fieldPosition="0">
        <references count="1">
          <reference field="0" count="1">
            <x v="2"/>
          </reference>
        </references>
      </pivotArea>
    </format>
    <format dxfId="340">
      <pivotArea dataOnly="0" labelOnly="1" fieldPosition="0">
        <references count="1">
          <reference field="0" count="1">
            <x v="3"/>
          </reference>
        </references>
      </pivotArea>
    </format>
    <format dxfId="339">
      <pivotArea dataOnly="0" labelOnly="1" fieldPosition="0">
        <references count="1">
          <reference field="0" count="1">
            <x v="4"/>
          </reference>
        </references>
      </pivotArea>
    </format>
    <format dxfId="338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7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36">
      <pivotArea dataOnly="0" labelOnly="1" fieldPosition="0">
        <references count="1">
          <reference field="0" count="1">
            <x v="0"/>
          </reference>
        </references>
      </pivotArea>
    </format>
    <format dxfId="335">
      <pivotArea dataOnly="0" labelOnly="1" fieldPosition="0">
        <references count="1">
          <reference field="0" count="1">
            <x v="1"/>
          </reference>
        </references>
      </pivotArea>
    </format>
    <format dxfId="334">
      <pivotArea dataOnly="0" labelOnly="1" fieldPosition="0">
        <references count="1">
          <reference field="0" count="1">
            <x v="2"/>
          </reference>
        </references>
      </pivotArea>
    </format>
    <format dxfId="333">
      <pivotArea dataOnly="0" labelOnly="1" fieldPosition="0">
        <references count="1">
          <reference field="0" count="1">
            <x v="3"/>
          </reference>
        </references>
      </pivotArea>
    </format>
    <format dxfId="332">
      <pivotArea dataOnly="0" labelOnly="1" fieldPosition="0">
        <references count="1">
          <reference field="0" count="1">
            <x v="4"/>
          </reference>
        </references>
      </pivotArea>
    </format>
    <format dxfId="331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0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29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328">
      <pivotArea dataOnly="0" labelOnly="1" fieldPosition="0">
        <references count="1">
          <reference field="0" count="1">
            <x v="0"/>
          </reference>
        </references>
      </pivotArea>
    </format>
    <format dxfId="327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326">
      <pivotArea dataOnly="0" labelOnly="1" fieldPosition="0">
        <references count="1">
          <reference field="0" count="1">
            <x v="1"/>
          </reference>
        </references>
      </pivotArea>
    </format>
    <format dxfId="325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format>
    <format dxfId="324">
      <pivotArea dataOnly="0" labelOnly="1" fieldPosition="0">
        <references count="1">
          <reference field="0" count="1">
            <x v="2"/>
          </reference>
        </references>
      </pivotArea>
    </format>
    <format dxfId="323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format>
    <format dxfId="322">
      <pivotArea dataOnly="0" labelOnly="1" fieldPosition="0">
        <references count="1">
          <reference field="0" count="1">
            <x v="3"/>
          </reference>
        </references>
      </pivotArea>
    </format>
    <format dxfId="321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format>
    <format dxfId="320">
      <pivotArea dataOnly="0" labelOnly="1" fieldPosition="0">
        <references count="1">
          <reference field="0" count="1">
            <x v="4"/>
          </reference>
        </references>
      </pivotArea>
    </format>
    <format dxfId="319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318">
      <pivotArea dataOnly="0" labelOnly="1" fieldPosition="0">
        <references count="1">
          <reference field="0" count="1">
            <x v="0"/>
          </reference>
        </references>
      </pivotArea>
    </format>
    <format dxfId="317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316">
      <pivotArea dataOnly="0" labelOnly="1" fieldPosition="0">
        <references count="1">
          <reference field="0" count="1">
            <x v="1"/>
          </reference>
        </references>
      </pivotArea>
    </format>
    <format dxfId="315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format>
    <format dxfId="314">
      <pivotArea dataOnly="0" labelOnly="1" fieldPosition="0">
        <references count="1">
          <reference field="0" count="1">
            <x v="2"/>
          </reference>
        </references>
      </pivotArea>
    </format>
    <format dxfId="313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format>
    <format dxfId="312">
      <pivotArea dataOnly="0" labelOnly="1" fieldPosition="0">
        <references count="1">
          <reference field="0" count="1">
            <x v="3"/>
          </reference>
        </references>
      </pivotArea>
    </format>
    <format dxfId="311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format>
    <format dxfId="310">
      <pivotArea dataOnly="0" labelOnly="1" fieldPosition="0">
        <references count="1">
          <reference field="0" count="1">
            <x v="4"/>
          </reference>
        </references>
      </pivotArea>
    </format>
    <format dxfId="309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308">
      <pivotArea dataOnly="0" labelOnly="1" fieldPosition="0">
        <references count="1">
          <reference field="0" count="1">
            <x v="0"/>
          </reference>
        </references>
      </pivotArea>
    </format>
    <format dxfId="307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306">
      <pivotArea dataOnly="0" labelOnly="1" fieldPosition="0">
        <references count="1">
          <reference field="0" count="1">
            <x v="1"/>
          </reference>
        </references>
      </pivotArea>
    </format>
    <format dxfId="305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format>
    <format dxfId="304">
      <pivotArea dataOnly="0" labelOnly="1" fieldPosition="0">
        <references count="1">
          <reference field="0" count="1">
            <x v="2"/>
          </reference>
        </references>
      </pivotArea>
    </format>
    <format dxfId="303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format>
    <format dxfId="302">
      <pivotArea dataOnly="0" labelOnly="1" fieldPosition="0">
        <references count="1">
          <reference field="0" count="1">
            <x v="3"/>
          </reference>
        </references>
      </pivotArea>
    </format>
    <format dxfId="301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format>
    <format dxfId="300">
      <pivotArea dataOnly="0" labelOnly="1" fieldPosition="0">
        <references count="1">
          <reference field="0" count="1">
            <x v="4"/>
          </reference>
        </references>
      </pivotArea>
    </format>
    <format dxfId="299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298">
      <pivotArea dataOnly="0" labelOnly="1" fieldPosition="0">
        <references count="1">
          <reference field="0" count="1">
            <x v="0"/>
          </reference>
        </references>
      </pivotArea>
    </format>
    <format dxfId="297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296">
      <pivotArea dataOnly="0" labelOnly="1" fieldPosition="0">
        <references count="1">
          <reference field="0" count="1">
            <x v="1"/>
          </reference>
        </references>
      </pivotArea>
    </format>
    <format dxfId="295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format>
    <format dxfId="294">
      <pivotArea dataOnly="0" labelOnly="1" fieldPosition="0">
        <references count="1">
          <reference field="0" count="1">
            <x v="2"/>
          </reference>
        </references>
      </pivotArea>
    </format>
    <format dxfId="293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format>
    <format dxfId="292">
      <pivotArea dataOnly="0" labelOnly="1" fieldPosition="0">
        <references count="1">
          <reference field="0" count="1">
            <x v="3"/>
          </reference>
        </references>
      </pivotArea>
    </format>
    <format dxfId="291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format>
    <format dxfId="290">
      <pivotArea dataOnly="0" labelOnly="1" fieldPosition="0">
        <references count="1">
          <reference field="0" count="1">
            <x v="4"/>
          </reference>
        </references>
      </pivotArea>
    </format>
    <format dxfId="289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288">
      <pivotArea dataOnly="0" labelOnly="1" fieldPosition="0">
        <references count="1">
          <reference field="0" count="1">
            <x v="0"/>
          </reference>
        </references>
      </pivotArea>
    </format>
    <format dxfId="287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286">
      <pivotArea dataOnly="0" labelOnly="1" fieldPosition="0">
        <references count="1">
          <reference field="0" count="1">
            <x v="1"/>
          </reference>
        </references>
      </pivotArea>
    </format>
    <format dxfId="285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format>
    <format dxfId="284">
      <pivotArea dataOnly="0" labelOnly="1" fieldPosition="0">
        <references count="1">
          <reference field="0" count="1">
            <x v="2"/>
          </reference>
        </references>
      </pivotArea>
    </format>
    <format dxfId="283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format>
    <format dxfId="282">
      <pivotArea dataOnly="0" labelOnly="1" fieldPosition="0">
        <references count="1">
          <reference field="0" count="1">
            <x v="3"/>
          </reference>
        </references>
      </pivotArea>
    </format>
    <format dxfId="281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format>
    <format dxfId="280">
      <pivotArea dataOnly="0" labelOnly="1" fieldPosition="0">
        <references count="1">
          <reference field="0" count="1">
            <x v="4"/>
          </reference>
        </references>
      </pivotArea>
    </format>
    <format dxfId="279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278">
      <pivotArea dataOnly="0" labelOnly="1" fieldPosition="0">
        <references count="1">
          <reference field="0" count="1">
            <x v="0"/>
          </reference>
        </references>
      </pivotArea>
    </format>
    <format dxfId="277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276">
      <pivotArea dataOnly="0" labelOnly="1" fieldPosition="0">
        <references count="1">
          <reference field="0" count="1">
            <x v="1"/>
          </reference>
        </references>
      </pivotArea>
    </format>
    <format dxfId="275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format>
    <format dxfId="274">
      <pivotArea dataOnly="0" labelOnly="1" fieldPosition="0">
        <references count="1">
          <reference field="0" count="1">
            <x v="2"/>
          </reference>
        </references>
      </pivotArea>
    </format>
    <format dxfId="273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format>
    <format dxfId="272">
      <pivotArea dataOnly="0" labelOnly="1" fieldPosition="0">
        <references count="1">
          <reference field="0" count="1">
            <x v="3"/>
          </reference>
        </references>
      </pivotArea>
    </format>
    <format dxfId="271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format>
    <format dxfId="270">
      <pivotArea dataOnly="0" labelOnly="1" fieldPosition="0">
        <references count="1">
          <reference field="0" count="1">
            <x v="4"/>
          </reference>
        </references>
      </pivotArea>
    </format>
    <format dxfId="269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268">
      <pivotArea dataOnly="0" labelOnly="1" fieldPosition="0">
        <references count="1">
          <reference field="0" count="1">
            <x v="0"/>
          </reference>
        </references>
      </pivotArea>
    </format>
    <format dxfId="267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266">
      <pivotArea dataOnly="0" labelOnly="1" fieldPosition="0">
        <references count="1">
          <reference field="0" count="1">
            <x v="1"/>
          </reference>
        </references>
      </pivotArea>
    </format>
    <format dxfId="265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format>
    <format dxfId="264">
      <pivotArea dataOnly="0" labelOnly="1" fieldPosition="0">
        <references count="1">
          <reference field="0" count="1">
            <x v="2"/>
          </reference>
        </references>
      </pivotArea>
    </format>
    <format dxfId="263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format>
    <format dxfId="262">
      <pivotArea dataOnly="0" labelOnly="1" fieldPosition="0">
        <references count="1">
          <reference field="0" count="1">
            <x v="3"/>
          </reference>
        </references>
      </pivotArea>
    </format>
    <format dxfId="261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format>
    <format dxfId="260">
      <pivotArea dataOnly="0" labelOnly="1" fieldPosition="0">
        <references count="1">
          <reference field="0" count="1">
            <x v="4"/>
          </reference>
        </references>
      </pivotArea>
    </format>
    <format dxfId="259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258">
      <pivotArea dataOnly="0" labelOnly="1" fieldPosition="0">
        <references count="1">
          <reference field="0" count="1">
            <x v="0"/>
          </reference>
        </references>
      </pivotArea>
    </format>
    <format dxfId="257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256">
      <pivotArea dataOnly="0" labelOnly="1" fieldPosition="0">
        <references count="1">
          <reference field="0" count="1">
            <x v="1"/>
          </reference>
        </references>
      </pivotArea>
    </format>
    <format dxfId="255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format>
    <format dxfId="254">
      <pivotArea dataOnly="0" labelOnly="1" fieldPosition="0">
        <references count="1">
          <reference field="0" count="1">
            <x v="2"/>
          </reference>
        </references>
      </pivotArea>
    </format>
    <format dxfId="253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format>
    <format dxfId="252">
      <pivotArea dataOnly="0" labelOnly="1" fieldPosition="0">
        <references count="1">
          <reference field="0" count="1">
            <x v="3"/>
          </reference>
        </references>
      </pivotArea>
    </format>
    <format dxfId="251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format>
    <format dxfId="250">
      <pivotArea dataOnly="0" labelOnly="1" fieldPosition="0">
        <references count="1">
          <reference field="0" count="1">
            <x v="4"/>
          </reference>
        </references>
      </pivotArea>
    </format>
    <format dxfId="24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48">
      <pivotArea dataOnly="0" labelOnly="1" fieldPosition="0">
        <references count="1">
          <reference field="0" count="1">
            <x v="0"/>
          </reference>
        </references>
      </pivotArea>
    </format>
    <format dxfId="24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246">
      <pivotArea dataOnly="0" labelOnly="1" fieldPosition="0">
        <references count="1">
          <reference field="0" count="1">
            <x v="1"/>
          </reference>
        </references>
      </pivotArea>
    </format>
    <format dxfId="24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format>
    <format dxfId="244">
      <pivotArea dataOnly="0" labelOnly="1" fieldPosition="0">
        <references count="1">
          <reference field="0" count="1">
            <x v="2"/>
          </reference>
        </references>
      </pivotArea>
    </format>
    <format dxfId="24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format>
    <format dxfId="242">
      <pivotArea dataOnly="0" labelOnly="1" fieldPosition="0">
        <references count="1">
          <reference field="0" count="1">
            <x v="3"/>
          </reference>
        </references>
      </pivotArea>
    </format>
    <format dxfId="24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format>
    <format dxfId="240">
      <pivotArea dataOnly="0" labelOnly="1" fieldPosition="0">
        <references count="1">
          <reference field="0" count="1">
            <x v="4"/>
          </reference>
        </references>
      </pivotArea>
    </format>
    <format dxfId="239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238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7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6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35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23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33">
      <pivotArea dataOnly="0" labelOnly="1" fieldPosition="0">
        <references count="1">
          <reference field="0" count="1">
            <x v="0"/>
          </reference>
        </references>
      </pivotArea>
    </format>
    <format dxfId="232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231">
      <pivotArea dataOnly="0" labelOnly="1" fieldPosition="0">
        <references count="1">
          <reference field="0" count="1">
            <x v="1"/>
          </reference>
        </references>
      </pivotArea>
    </format>
    <format dxfId="23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format>
    <format dxfId="229">
      <pivotArea dataOnly="0" labelOnly="1" fieldPosition="0">
        <references count="1">
          <reference field="0" count="1">
            <x v="2"/>
          </reference>
        </references>
      </pivotArea>
    </format>
    <format dxfId="22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format>
    <format dxfId="227">
      <pivotArea dataOnly="0" labelOnly="1" fieldPosition="0">
        <references count="1">
          <reference field="0" count="1">
            <x v="3"/>
          </reference>
        </references>
      </pivotArea>
    </format>
    <format dxfId="22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format>
    <format dxfId="225">
      <pivotArea dataOnly="0" labelOnly="1" fieldPosition="0">
        <references count="1">
          <reference field="0" count="1">
            <x v="4"/>
          </reference>
        </references>
      </pivotArea>
    </format>
    <format dxfId="224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223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2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21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20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21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8">
      <pivotArea dataOnly="0" labelOnly="1" fieldPosition="0">
        <references count="1">
          <reference field="0" count="1">
            <x v="0"/>
          </reference>
        </references>
      </pivotArea>
    </format>
    <format dxfId="21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216">
      <pivotArea dataOnly="0" labelOnly="1" fieldPosition="0">
        <references count="1">
          <reference field="0" count="1">
            <x v="1"/>
          </reference>
        </references>
      </pivotArea>
    </format>
    <format dxfId="21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format>
    <format dxfId="214">
      <pivotArea dataOnly="0" labelOnly="1" fieldPosition="0">
        <references count="1">
          <reference field="0" count="1">
            <x v="2"/>
          </reference>
        </references>
      </pivotArea>
    </format>
    <format dxfId="21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format>
    <format dxfId="212">
      <pivotArea dataOnly="0" labelOnly="1" fieldPosition="0">
        <references count="1">
          <reference field="0" count="1">
            <x v="3"/>
          </reference>
        </references>
      </pivotArea>
    </format>
    <format dxfId="21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format>
    <format dxfId="210">
      <pivotArea dataOnly="0" labelOnly="1" fieldPosition="0">
        <references count="1">
          <reference field="0" count="1">
            <x v="4"/>
          </reference>
        </references>
      </pivotArea>
    </format>
    <format dxfId="209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208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7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06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05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20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3">
      <pivotArea dataOnly="0" labelOnly="1" fieldPosition="0">
        <references count="1">
          <reference field="0" count="1">
            <x v="0"/>
          </reference>
        </references>
      </pivotArea>
    </format>
    <format dxfId="202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201">
      <pivotArea dataOnly="0" labelOnly="1" fieldPosition="0">
        <references count="1">
          <reference field="0" count="1">
            <x v="1"/>
          </reference>
        </references>
      </pivotArea>
    </format>
    <format dxfId="20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format>
    <format dxfId="199">
      <pivotArea dataOnly="0" labelOnly="1" fieldPosition="0">
        <references count="1">
          <reference field="0" count="1">
            <x v="2"/>
          </reference>
        </references>
      </pivotArea>
    </format>
    <format dxfId="19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format>
    <format dxfId="197">
      <pivotArea dataOnly="0" labelOnly="1" fieldPosition="0">
        <references count="1">
          <reference field="0" count="1">
            <x v="3"/>
          </reference>
        </references>
      </pivotArea>
    </format>
    <format dxfId="19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format>
    <format dxfId="195">
      <pivotArea dataOnly="0" labelOnly="1" fieldPosition="0">
        <references count="1">
          <reference field="0" count="1">
            <x v="4"/>
          </reference>
        </references>
      </pivotArea>
    </format>
    <format dxfId="194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93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92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1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90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8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8">
      <pivotArea dataOnly="0" labelOnly="1" fieldPosition="0">
        <references count="1">
          <reference field="0" count="1">
            <x v="0"/>
          </reference>
        </references>
      </pivotArea>
    </format>
    <format dxfId="18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86">
      <pivotArea dataOnly="0" labelOnly="1" fieldPosition="0">
        <references count="1">
          <reference field="0" count="1">
            <x v="1"/>
          </reference>
        </references>
      </pivotArea>
    </format>
    <format dxfId="18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format>
    <format dxfId="184">
      <pivotArea dataOnly="0" labelOnly="1" fieldPosition="0">
        <references count="1">
          <reference field="0" count="1">
            <x v="2"/>
          </reference>
        </references>
      </pivotArea>
    </format>
    <format dxfId="18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format>
    <format dxfId="182">
      <pivotArea dataOnly="0" labelOnly="1" fieldPosition="0">
        <references count="1">
          <reference field="0" count="1">
            <x v="3"/>
          </reference>
        </references>
      </pivotArea>
    </format>
    <format dxfId="18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format>
    <format dxfId="180">
      <pivotArea dataOnly="0" labelOnly="1" fieldPosition="0">
        <references count="1">
          <reference field="0" count="1">
            <x v="4"/>
          </reference>
        </references>
      </pivotArea>
    </format>
    <format dxfId="179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78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7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6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5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74">
      <pivotArea outline="0" collapsedLevelsAreSubtotals="1" fieldPosition="0"/>
    </format>
    <format dxfId="173">
      <pivotArea dataOnly="0" labelOnly="1" fieldPosition="0">
        <references count="1">
          <reference field="0" count="0"/>
        </references>
      </pivotArea>
    </format>
    <format dxfId="172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1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0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69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68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7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6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65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64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3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2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61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60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9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8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57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56">
      <pivotArea outline="0" collapsedLevelsAreSubtotals="1" fieldPosition="0">
        <references count="2">
          <reference field="4294967294" count="2" selected="0">
            <x v="1"/>
            <x v="2"/>
          </reference>
          <reference field="0" count="1" selected="0">
            <x v="0"/>
          </reference>
        </references>
      </pivotArea>
    </format>
    <format dxfId="15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4">
      <pivotArea dataOnly="0" labelOnly="1" fieldPosition="0">
        <references count="1">
          <reference field="0" count="1">
            <x v="0"/>
          </reference>
        </references>
      </pivotArea>
    </format>
    <format dxfId="15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52">
      <pivotArea dataOnly="0" labelOnly="1" fieldPosition="0">
        <references count="1">
          <reference field="0" count="1">
            <x v="1"/>
          </reference>
        </references>
      </pivotArea>
    </format>
    <format dxfId="15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format>
    <format dxfId="150">
      <pivotArea dataOnly="0" labelOnly="1" fieldPosition="0">
        <references count="1">
          <reference field="0" count="1">
            <x v="2"/>
          </reference>
        </references>
      </pivotArea>
    </format>
    <format dxfId="14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format>
    <format dxfId="148">
      <pivotArea dataOnly="0" labelOnly="1" fieldPosition="0">
        <references count="1">
          <reference field="0" count="1">
            <x v="3"/>
          </reference>
        </references>
      </pivotArea>
    </format>
    <format dxfId="14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format>
    <format dxfId="146">
      <pivotArea dataOnly="0" labelOnly="1" fieldPosition="0">
        <references count="1">
          <reference field="0" count="1">
            <x v="4"/>
          </reference>
        </references>
      </pivotArea>
    </format>
    <format dxfId="145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44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41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4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9">
      <pivotArea dataOnly="0" labelOnly="1" fieldPosition="0">
        <references count="1">
          <reference field="0" count="1">
            <x v="0"/>
          </reference>
        </references>
      </pivotArea>
    </format>
    <format dxfId="13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37">
      <pivotArea dataOnly="0" labelOnly="1" fieldPosition="0">
        <references count="1">
          <reference field="0" count="1">
            <x v="1"/>
          </reference>
        </references>
      </pivotArea>
    </format>
    <format dxfId="13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format>
    <format dxfId="135">
      <pivotArea dataOnly="0" labelOnly="1" fieldPosition="0">
        <references count="1">
          <reference field="0" count="1">
            <x v="2"/>
          </reference>
        </references>
      </pivotArea>
    </format>
    <format dxfId="13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format>
    <format dxfId="133">
      <pivotArea dataOnly="0" labelOnly="1" fieldPosition="0">
        <references count="1">
          <reference field="0" count="1">
            <x v="3"/>
          </reference>
        </references>
      </pivotArea>
    </format>
    <format dxfId="132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format>
    <format dxfId="131">
      <pivotArea dataOnly="0" labelOnly="1" fieldPosition="0">
        <references count="1">
          <reference field="0" count="1">
            <x v="4"/>
          </reference>
        </references>
      </pivotArea>
    </format>
    <format dxfId="130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29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8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7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26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25">
      <pivotArea outline="0" collapsedLevelsAreSubtotals="1" fieldPosition="0">
        <references count="2">
          <reference field="4294967294" count="2" selected="0">
            <x v="1"/>
            <x v="2"/>
          </reference>
          <reference field="0" count="1" selected="0">
            <x v="0"/>
          </reference>
        </references>
      </pivotArea>
    </format>
    <format dxfId="124">
      <pivotArea outline="0" collapsedLevelsAreSubtotals="1" fieldPosition="0">
        <references count="2">
          <reference field="4294967294" count="2" selected="0">
            <x v="1"/>
            <x v="2"/>
          </reference>
          <reference field="0" count="1" selected="0">
            <x v="0"/>
          </reference>
        </references>
      </pivotArea>
    </format>
    <format dxfId="123">
      <pivotArea outline="0" collapsedLevelsAreSubtotals="1" fieldPosition="0">
        <references count="2">
          <reference field="4294967294" count="2" selected="0">
            <x v="1"/>
            <x v="2"/>
          </reference>
          <reference field="0" count="1" selected="0">
            <x v="0"/>
          </reference>
        </references>
      </pivotArea>
    </format>
    <format dxfId="122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121">
      <pivotArea dataOnly="0" labelOnly="1" fieldPosition="0">
        <references count="1">
          <reference field="0" count="1">
            <x v="0"/>
          </reference>
        </references>
      </pivotArea>
    </format>
    <format dxfId="120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119">
      <pivotArea dataOnly="0" labelOnly="1" fieldPosition="0">
        <references count="1">
          <reference field="0" count="1">
            <x v="1"/>
          </reference>
        </references>
      </pivotArea>
    </format>
    <format dxfId="118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format>
    <format dxfId="117">
      <pivotArea dataOnly="0" labelOnly="1" fieldPosition="0">
        <references count="1">
          <reference field="0" count="1">
            <x v="2"/>
          </reference>
        </references>
      </pivotArea>
    </format>
    <format dxfId="116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format>
    <format dxfId="115">
      <pivotArea dataOnly="0" labelOnly="1" fieldPosition="0">
        <references count="1">
          <reference field="0" count="1">
            <x v="4"/>
          </reference>
        </references>
      </pivotArea>
    </format>
    <format dxfId="114">
      <pivotArea field="0" grandCol="1" outline="0" collapsedLevelsAreSubtotals="1" axis="axisCol" fieldPosition="0">
        <references count="1">
          <reference field="4294967294" count="1" selected="0">
            <x v="3"/>
          </reference>
        </references>
      </pivotArea>
    </format>
    <format dxfId="113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2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1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10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09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format>
    <format dxfId="108">
      <pivotArea dataOnly="0" labelOnly="1" fieldPosition="0">
        <references count="1">
          <reference field="0" count="1">
            <x v="3"/>
          </reference>
        </references>
      </pivotArea>
    </format>
    <format dxfId="107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106">
      <pivotArea dataOnly="0" labelOnly="1" fieldPosition="0">
        <references count="1">
          <reference field="0" count="1">
            <x v="0"/>
          </reference>
        </references>
      </pivotArea>
    </format>
    <format dxfId="105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104">
      <pivotArea dataOnly="0" labelOnly="1" fieldPosition="0">
        <references count="1">
          <reference field="0" count="1">
            <x v="1"/>
          </reference>
        </references>
      </pivotArea>
    </format>
    <format dxfId="103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format>
    <format dxfId="102">
      <pivotArea dataOnly="0" labelOnly="1" fieldPosition="0">
        <references count="1">
          <reference field="0" count="1">
            <x v="2"/>
          </reference>
        </references>
      </pivotArea>
    </format>
    <format dxfId="101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format>
    <format dxfId="100">
      <pivotArea dataOnly="0" labelOnly="1" fieldPosition="0">
        <references count="1">
          <reference field="0" count="1">
            <x v="4"/>
          </reference>
        </references>
      </pivotArea>
    </format>
    <format dxfId="99">
      <pivotArea field="0" grandCol="1" outline="0" collapsedLevelsAreSubtotals="1" axis="axisCol" fieldPosition="0">
        <references count="1">
          <reference field="4294967294" count="1" selected="0">
            <x v="3"/>
          </reference>
        </references>
      </pivotArea>
    </format>
    <format dxfId="98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7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6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95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94">
      <pivotArea outline="0" collapsedLevelsAreSubtotals="1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format>
    <format dxfId="93">
      <pivotArea dataOnly="0" labelOnly="1" fieldPosition="0">
        <references count="1">
          <reference field="0" count="1">
            <x v="3"/>
          </reference>
        </references>
      </pivotArea>
    </format>
    <format dxfId="92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91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90">
      <pivotArea field="0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89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8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7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86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85">
      <pivotArea field="0" grandCol="1" outline="0" collapsedLevelsAreSubtotals="1" axis="axisCol" fieldPosition="0">
        <references count="1">
          <reference field="4294967294" count="1" selected="0">
            <x v="2"/>
          </reference>
        </references>
      </pivotArea>
    </format>
    <format dxfId="84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3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2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81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80">
      <pivotArea field="0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79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8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7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76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75">
      <pivotArea field="0" grandCol="1" outline="0" collapsedLevelsAreSubtotals="1" axis="axisCol" fieldPosition="0">
        <references count="1">
          <reference field="4294967294" count="1" selected="0">
            <x v="2"/>
          </reference>
        </references>
      </pivotArea>
    </format>
    <format dxfId="74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3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2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71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</formats>
  <conditionalFormats count="2">
    <conditionalFormat priority="1">
      <pivotAreas count="6">
        <pivotArea type="data" outline="0" collapsedLevelsAreSubtotals="1" fieldPosition="0">
          <references count="2">
            <reference field="4294967294" count="2" selected="0">
              <x v="1"/>
              <x v="2"/>
            </reference>
            <reference field="0" count="1" selected="0">
              <x v="0"/>
            </reference>
          </references>
        </pivotArea>
        <pivotArea type="data" outline="0" collapsedLevelsAreSubtotals="1" fieldPosition="0">
          <references count="2">
            <reference field="4294967294" count="2" selected="0">
              <x v="1"/>
              <x v="2"/>
            </reference>
            <reference field="0" count="1" selected="0">
              <x v="1"/>
            </reference>
          </references>
        </pivotArea>
        <pivotArea type="data" outline="0" collapsedLevelsAreSubtotals="1" fieldPosition="0">
          <references count="2">
            <reference field="4294967294" count="2" selected="0">
              <x v="1"/>
              <x v="2"/>
            </reference>
            <reference field="0" count="1" selected="0">
              <x v="2"/>
            </reference>
          </references>
        </pivotArea>
        <pivotArea type="data" outline="0" collapsedLevelsAreSubtotals="1" fieldPosition="0">
          <references count="2">
            <reference field="4294967294" count="2" selected="0">
              <x v="1"/>
              <x v="2"/>
            </reference>
            <reference field="0" count="1" selected="0">
              <x v="3"/>
            </reference>
          </references>
        </pivotArea>
        <pivotArea type="data" outline="0" collapsedLevelsAreSubtotals="1" fieldPosition="0">
          <references count="2">
            <reference field="4294967294" count="2" selected="0">
              <x v="1"/>
              <x v="2"/>
            </reference>
            <reference field="0" count="1" selected="0">
              <x v="4"/>
            </reference>
          </references>
        </pivotArea>
        <pivotArea type="data" grandCol="1" outline="0" collapsedLevelsAreSubtotals="1" fieldPosition="0">
          <references count="1">
            <reference field="4294967294" count="2" selected="0">
              <x v="1"/>
              <x v="2"/>
            </reference>
          </references>
        </pivotArea>
      </pivotAreas>
    </conditionalFormat>
    <conditionalFormat priority="2">
      <pivotAreas count="6">
        <pivotArea type="data" outline="0" collapsedLevelsAreSubtotals="1" fieldPosition="0">
          <references count="2">
            <reference field="4294967294" count="2" selected="0">
              <x v="1"/>
              <x v="2"/>
            </reference>
            <reference field="0" count="1" selected="0">
              <x v="0"/>
            </reference>
          </references>
        </pivotArea>
        <pivotArea type="data" outline="0" collapsedLevelsAreSubtotals="1" fieldPosition="0">
          <references count="2">
            <reference field="4294967294" count="2" selected="0">
              <x v="1"/>
              <x v="2"/>
            </reference>
            <reference field="0" count="1" selected="0">
              <x v="1"/>
            </reference>
          </references>
        </pivotArea>
        <pivotArea type="data" outline="0" collapsedLevelsAreSubtotals="1" fieldPosition="0">
          <references count="2">
            <reference field="4294967294" count="2" selected="0">
              <x v="1"/>
              <x v="2"/>
            </reference>
            <reference field="0" count="1" selected="0">
              <x v="2"/>
            </reference>
          </references>
        </pivotArea>
        <pivotArea type="data" outline="0" collapsedLevelsAreSubtotals="1" fieldPosition="0">
          <references count="2">
            <reference field="4294967294" count="2" selected="0">
              <x v="1"/>
              <x v="2"/>
            </reference>
            <reference field="0" count="1" selected="0">
              <x v="3"/>
            </reference>
          </references>
        </pivotArea>
        <pivotArea type="data" outline="0" collapsedLevelsAreSubtotals="1" fieldPosition="0">
          <references count="2">
            <reference field="4294967294" count="2" selected="0">
              <x v="1"/>
              <x v="2"/>
            </reference>
            <reference field="0" count="1" selected="0">
              <x v="4"/>
            </reference>
          </references>
        </pivotArea>
        <pivotArea type="data" grandCol="1" outline="0" collapsedLevelsAreSubtotals="1" fieldPosition="0">
          <references count="1">
            <reference field="4294967294" count="2" selected="0">
              <x v="1"/>
              <x v="2"/>
            </reference>
          </references>
        </pivotArea>
      </pivotAreas>
    </conditionalFormat>
  </conditional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G"/>
    <pivotHierarchy dragToData="1"/>
    <pivotHierarchy dragToData="1"/>
    <pivotHierarchy dragToData="1" caption="R [%]"/>
    <pivotHierarchy dragToData="1"/>
    <pivotHierarchy dragToData="1" caption="A [%]"/>
    <pivotHierarchy dragToData="1" caption="NCALIB"/>
    <pivotHierarchy dragToData="1" caption="T [°C]"/>
    <pivotHierarchy dragToData="1" caption="T [°C]"/>
    <pivotHierarchy dragToData="1" caption="NCALIB"/>
    <pivotHierarchy dragToData="1"/>
    <pivotHierarchy dragToData="1" caption="G"/>
  </pivotHierarchies>
  <pivotTableStyleInfo name="PivotStyleLight15" showRowHeaders="1" showColHeaders="1" showRowStripes="0" showColStripes="0" showLastColumn="1"/>
  <rowHierarchiesUsage count="1">
    <rowHierarchyUsage hierarchyUsage="1"/>
  </rowHierarchiesUsage>
  <colHierarchiesUsage count="2">
    <colHierarchyUsage hierarchyUsage="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process.xlsx!reprocess">
        <x15:activeTabTopLevelEntity name="[reprocess]"/>
      </x15:pivotTableUISettings>
    </ext>
  </extLst>
</pivotTableDefinition>
</file>

<file path=xl/queryTables/queryTable1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60">
    <queryTableFields count="59">
      <queryTableField id="1" name="year" tableColumnId="1"/>
      <queryTableField id="2" name="station_code" tableColumnId="2"/>
      <queryTableField id="3" name="channel id" tableColumnId="3"/>
      <queryTableField id="4" name="start" tableColumnId="4"/>
      <queryTableField id="5" name="duration [s]" tableColumnId="5"/>
      <queryTableField id="6" name="f_min [Hz]" tableColumnId="6"/>
      <queryTableField id="7" name="f_max [Hz]" tableColumnId="7"/>
      <queryTableField id="8" name="windows" tableColumnId="8"/>
      <queryTableField id="9" name="gain [dB]" tableColumnId="9"/>
      <queryTableField id="10" name="phase [°]" tableColumnId="10"/>
      <queryTableField id="11" name="normalized error" tableColumnId="11"/>
      <queryTableField id="12" name="temperature [°C]" tableColumnId="12"/>
      <queryTableField id="13" name="f_max [Hz] " tableColumnId="13"/>
      <queryTableField id="14" name="gain" tableColumnId="14"/>
      <queryTableField id="15" name="delta_t" tableColumnId="15"/>
      <queryTableField id="16" name="findpeaks_calib" tableColumnId="16"/>
      <queryTableField id="17" name="sensor_model" tableColumnId="17"/>
      <queryTableField id="18" name="sensor_id" tableColumnId="18"/>
      <queryTableField id="19" name="Kg" tableColumnId="19"/>
      <queryTableField id="20" name="Rg" tableColumnId="20"/>
      <queryTableField id="21" name="CDR" tableColumnId="21"/>
      <queryTableField id="22" name="Rd" tableColumnId="22"/>
      <queryTableField id="23" name="Km" tableColumnId="23"/>
      <queryTableField id="24" name="M" tableColumnId="24"/>
      <queryTableField id="25" name="Rm" tableColumnId="25"/>
      <queryTableField id="26" name="f0" tableColumnId="26"/>
      <queryTableField id="27" name="lambda_x" tableColumnId="27"/>
      <queryTableField id="28" name="preamp_model" tableColumnId="28"/>
      <queryTableField id="29" name="preamp_id" tableColumnId="29"/>
      <queryTableField id="30" name="Kp" tableColumnId="30"/>
      <queryTableField id="31" name="Kc" tableColumnId="31"/>
      <queryTableField id="32" name="Rp" tableColumnId="32"/>
      <queryTableField id="33" name="digitizer_model" tableColumnId="33"/>
      <queryTableField id="34" name="digitizer_id" tableColumnId="34"/>
      <queryTableField id="35" name="Si" tableColumnId="35"/>
      <queryTableField id="36" name="Kd" tableColumnId="36"/>
      <queryTableField id="37" name="So" tableColumnId="37"/>
      <queryTableField id="38" name="Rc" tableColumnId="38"/>
      <queryTableField id="39" name="Sg" tableColumnId="39"/>
      <queryTableField id="40" name="lambda0" tableColumnId="40"/>
      <queryTableField id="41" name="Sd" tableColumnId="41"/>
      <queryTableField id="42" name="kappa_g" tableColumnId="42"/>
      <queryTableField id="43" name="kappa_c" tableColumnId="43"/>
      <queryTableField id="44" name="NCALPER" tableColumnId="44"/>
      <queryTableField id="45" name="NCALIB0" tableColumnId="45"/>
      <queryTableField id="46" name="gain0" tableColumnId="46"/>
      <queryTableField id="47" name="NCALIB" tableColumnId="47"/>
      <queryTableField id="48" name="gain_expected" tableColumnId="48"/>
      <queryTableField id="49" name="fc" tableColumnId="49"/>
      <queryTableField id="50" name="findpeaks_room" tableColumnId="50"/>
      <queryTableField id="51" name="gain_room" tableColumnId="51"/>
      <queryTableField id="52" name="findpeaks_deviation" tableColumnId="52"/>
      <queryTableField id="53" name="findpeaks_room_deviation" tableColumnId="53"/>
      <queryTableField id="54" name="gain_deviation" tableColumnId="54"/>
      <queryTableField id="55" name="gain_room_deviation" tableColumnId="55"/>
      <queryTableField id="56" name="findpeaks_drift" tableColumnId="56"/>
      <queryTableField id="57" name="findpeaks_room_drift" tableColumnId="57"/>
      <queryTableField id="58" name="gain_drift" tableColumnId="58"/>
      <queryTableField id="59" name="gain_room_drift" tableColumnId="59"/>
    </queryTableFields>
  </queryTableRefresh>
</queryTable>
</file>

<file path=xl/queryTables/queryTable2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8">
      <queryTableField id="1" name="station_code" tableColumnId="211"/>
      <queryTableField id="2" name="Kg" tableColumnId="212"/>
      <queryTableField id="3" name="Rg" tableColumnId="213"/>
      <queryTableField id="4" name="CDR" tableColumnId="214"/>
      <queryTableField id="5" name="Rd" tableColumnId="215"/>
      <queryTableField id="6" name="Sd" tableColumnId="216"/>
      <queryTableField id="7" name="NCALIB0" tableColumnId="217"/>
      <queryTableField id="8" name="gain0" tableColumnId="218"/>
    </queryTableFields>
  </queryTableRefresh>
</queryTable>
</file>

<file path=xl/queryTables/queryTable3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1" name="station_code" tableColumnId="49"/>
      <queryTableField id="2" name="sensor_id" tableColumnId="50"/>
      <queryTableField id="3" name="preamp_id" tableColumnId="51"/>
      <queryTableField id="4" name="digitizer_id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reprocess" displayName="reprocess" ref="A1:BG109" tableType="queryTable" totalsRowShown="0">
  <autoFilter ref="A1:BG109"/>
  <tableColumns count="59">
    <tableColumn id="1" uniqueName="1" name="year" queryTableFieldId="1" dataDxfId="58"/>
    <tableColumn id="2" uniqueName="2" name="station_code" queryTableFieldId="2" dataDxfId="57"/>
    <tableColumn id="3" uniqueName="3" name="channel id" queryTableFieldId="3" dataDxfId="56"/>
    <tableColumn id="4" uniqueName="4" name="start" queryTableFieldId="4" dataDxfId="55"/>
    <tableColumn id="5" uniqueName="5" name="duration [s]" queryTableFieldId="5" dataDxfId="54"/>
    <tableColumn id="6" uniqueName="6" name="f_min [Hz]" queryTableFieldId="6" dataDxfId="53"/>
    <tableColumn id="7" uniqueName="7" name="f_max [Hz]" queryTableFieldId="7" dataDxfId="52"/>
    <tableColumn id="8" uniqueName="8" name="windows" queryTableFieldId="8" dataDxfId="51"/>
    <tableColumn id="9" uniqueName="9" name="gain [dB]" queryTableFieldId="9" dataDxfId="50"/>
    <tableColumn id="10" uniqueName="10" name="phase [°]" queryTableFieldId="10" dataDxfId="49"/>
    <tableColumn id="11" uniqueName="11" name="normalized error" queryTableFieldId="11" dataDxfId="48"/>
    <tableColumn id="12" uniqueName="12" name="temperature [°C]" queryTableFieldId="12" dataDxfId="47"/>
    <tableColumn id="13" uniqueName="13" name="f_max [Hz] " queryTableFieldId="13" dataDxfId="46"/>
    <tableColumn id="14" uniqueName="14" name="gain" queryTableFieldId="14" dataDxfId="45"/>
    <tableColumn id="15" uniqueName="15" name="delta_t" queryTableFieldId="15" dataDxfId="44"/>
    <tableColumn id="16" uniqueName="16" name="findpeaks_calib" queryTableFieldId="16" dataDxfId="43"/>
    <tableColumn id="17" uniqueName="17" name="sensor_model" queryTableFieldId="17" dataDxfId="42"/>
    <tableColumn id="18" uniqueName="18" name="sensor_id" queryTableFieldId="18" dataDxfId="41"/>
    <tableColumn id="19" uniqueName="19" name="Kg" queryTableFieldId="19" dataDxfId="40"/>
    <tableColumn id="20" uniqueName="20" name="Rg" queryTableFieldId="20" dataDxfId="39"/>
    <tableColumn id="21" uniqueName="21" name="CDR" queryTableFieldId="21" dataDxfId="38"/>
    <tableColumn id="22" uniqueName="22" name="Rd" queryTableFieldId="22" dataDxfId="37"/>
    <tableColumn id="23" uniqueName="23" name="Km" queryTableFieldId="23" dataDxfId="36"/>
    <tableColumn id="24" uniqueName="24" name="M" queryTableFieldId="24" dataDxfId="35"/>
    <tableColumn id="25" uniqueName="25" name="Rm" queryTableFieldId="25" dataDxfId="34"/>
    <tableColumn id="26" uniqueName="26" name="f0" queryTableFieldId="26" dataDxfId="33"/>
    <tableColumn id="27" uniqueName="27" name="lambda_x" queryTableFieldId="27" dataDxfId="32"/>
    <tableColumn id="28" uniqueName="28" name="preamp_model" queryTableFieldId="28" dataDxfId="31"/>
    <tableColumn id="29" uniqueName="29" name="preamp_id" queryTableFieldId="29" dataDxfId="30"/>
    <tableColumn id="30" uniqueName="30" name="Kp" queryTableFieldId="30" dataDxfId="29"/>
    <tableColumn id="31" uniqueName="31" name="Kc" queryTableFieldId="31" dataDxfId="28"/>
    <tableColumn id="32" uniqueName="32" name="Rp" queryTableFieldId="32" dataDxfId="27"/>
    <tableColumn id="33" uniqueName="33" name="digitizer_model" queryTableFieldId="33" dataDxfId="26"/>
    <tableColumn id="34" uniqueName="34" name="digitizer_id" queryTableFieldId="34" dataDxfId="25"/>
    <tableColumn id="35" uniqueName="35" name="Si" queryTableFieldId="35" dataDxfId="24"/>
    <tableColumn id="36" uniqueName="36" name="Kd" queryTableFieldId="36" dataDxfId="23"/>
    <tableColumn id="37" uniqueName="37" name="So" queryTableFieldId="37" dataDxfId="22"/>
    <tableColumn id="38" uniqueName="38" name="Rc" queryTableFieldId="38" dataDxfId="21"/>
    <tableColumn id="39" uniqueName="39" name="Sg" queryTableFieldId="39" dataDxfId="20"/>
    <tableColumn id="40" uniqueName="40" name="lambda0" queryTableFieldId="40" dataDxfId="19"/>
    <tableColumn id="41" uniqueName="41" name="Sd" queryTableFieldId="41" dataDxfId="18"/>
    <tableColumn id="42" uniqueName="42" name="kappa_g" queryTableFieldId="42" dataDxfId="17"/>
    <tableColumn id="43" uniqueName="43" name="kappa_c" queryTableFieldId="43" dataDxfId="16"/>
    <tableColumn id="44" uniqueName="44" name="NCALPER" queryTableFieldId="44" dataDxfId="15"/>
    <tableColumn id="45" uniqueName="45" name="NCALIB0" queryTableFieldId="45" dataDxfId="14"/>
    <tableColumn id="46" uniqueName="46" name="gain0" queryTableFieldId="46" dataDxfId="13"/>
    <tableColumn id="47" uniqueName="47" name="NCALIB" queryTableFieldId="47" dataDxfId="12"/>
    <tableColumn id="48" uniqueName="48" name="gain_expected" queryTableFieldId="48" dataDxfId="11"/>
    <tableColumn id="49" uniqueName="49" name="fc" queryTableFieldId="49" dataDxfId="10"/>
    <tableColumn id="50" uniqueName="50" name="findpeaks_room" queryTableFieldId="50" dataDxfId="9"/>
    <tableColumn id="51" uniqueName="51" name="gain_room" queryTableFieldId="51" dataDxfId="8"/>
    <tableColumn id="52" uniqueName="52" name="findpeaks_deviation" queryTableFieldId="52" dataDxfId="7"/>
    <tableColumn id="53" uniqueName="53" name="findpeaks_room_deviation" queryTableFieldId="53" dataDxfId="6"/>
    <tableColumn id="54" uniqueName="54" name="gain_deviation" queryTableFieldId="54" dataDxfId="5"/>
    <tableColumn id="55" uniqueName="55" name="gain_room_deviation" queryTableFieldId="55" dataDxfId="4"/>
    <tableColumn id="56" uniqueName="56" name="findpeaks_drift" queryTableFieldId="56" dataDxfId="3"/>
    <tableColumn id="57" uniqueName="57" name="findpeaks_room_drift" queryTableFieldId="57" dataDxfId="2"/>
    <tableColumn id="58" uniqueName="58" name="gain_drift" queryTableFieldId="58" dataDxfId="1"/>
    <tableColumn id="59" uniqueName="59" name="gain_room_drift" queryTableFieldId="59" dataDxfId="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3" name="CalibrationSheetsDerived" displayName="CalibrationSheetsDerived" ref="A1:H21" tableType="queryTable" totalsRowShown="0">
  <autoFilter ref="A1:H21"/>
  <tableColumns count="8">
    <tableColumn id="211" uniqueName="211" name="station_code" queryTableFieldId="1" dataDxfId="70"/>
    <tableColumn id="212" uniqueName="212" name="Kg" queryTableFieldId="2" dataDxfId="69"/>
    <tableColumn id="213" uniqueName="213" name="Rg" queryTableFieldId="3" dataDxfId="68"/>
    <tableColumn id="214" uniqueName="214" name="CDR" queryTableFieldId="4" dataDxfId="67"/>
    <tableColumn id="215" uniqueName="215" name="Rd" queryTableFieldId="5" dataDxfId="66"/>
    <tableColumn id="216" uniqueName="216" name="Sd" queryTableFieldId="6" dataDxfId="65"/>
    <tableColumn id="217" uniqueName="217" name="NCALIB0" queryTableFieldId="7" dataDxfId="64"/>
    <tableColumn id="218" uniqueName="218" name="gain0" queryTableFieldId="8" dataDxfId="63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4" name="CalibrationSheetsDerived__2" displayName="CalibrationSheetsDerived__2" ref="A1:D21" tableType="queryTable" totalsRowShown="0">
  <autoFilter ref="A1:D21"/>
  <tableColumns count="4">
    <tableColumn id="49" uniqueName="49" name="station_code" queryTableFieldId="1" dataDxfId="62"/>
    <tableColumn id="50" uniqueName="50" name="sensor_id" queryTableFieldId="2" dataDxfId="61"/>
    <tableColumn id="51" uniqueName="51" name="preamp_id" queryTableFieldId="3" dataDxfId="60"/>
    <tableColumn id="52" uniqueName="52" name="digitizer_id" queryTableFieldId="4" dataDxfId="59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9"/>
  <sheetViews>
    <sheetView topLeftCell="A39" workbookViewId="0">
      <selection sqref="A1:BG109"/>
    </sheetView>
  </sheetViews>
  <sheetFormatPr defaultRowHeight="14.4" x14ac:dyDescent="0.3"/>
  <cols>
    <col min="1" max="1" width="6.88671875" bestFit="1" customWidth="1"/>
    <col min="2" max="2" width="14.109375" bestFit="1" customWidth="1"/>
    <col min="3" max="3" width="19.6640625" bestFit="1" customWidth="1"/>
    <col min="4" max="4" width="15.44140625" bestFit="1" customWidth="1"/>
    <col min="5" max="5" width="13" bestFit="1" customWidth="1"/>
    <col min="6" max="6" width="11.88671875" bestFit="1" customWidth="1"/>
    <col min="7" max="7" width="12.21875" bestFit="1" customWidth="1"/>
    <col min="8" max="8" width="10.6640625" bestFit="1" customWidth="1"/>
    <col min="9" max="9" width="10.77734375" bestFit="1" customWidth="1"/>
    <col min="10" max="10" width="10.6640625" bestFit="1" customWidth="1"/>
    <col min="11" max="11" width="17.21875" bestFit="1" customWidth="1"/>
    <col min="12" max="12" width="17.44140625" bestFit="1" customWidth="1"/>
    <col min="13" max="13" width="12.6640625" bestFit="1" customWidth="1"/>
    <col min="14" max="14" width="12" bestFit="1" customWidth="1"/>
    <col min="15" max="15" width="9.109375" bestFit="1" customWidth="1"/>
    <col min="16" max="16" width="16.44140625" bestFit="1" customWidth="1"/>
    <col min="17" max="17" width="15" bestFit="1" customWidth="1"/>
    <col min="18" max="18" width="11.21875" bestFit="1" customWidth="1"/>
    <col min="19" max="19" width="7" bestFit="1" customWidth="1"/>
    <col min="20" max="20" width="5.33203125" bestFit="1" customWidth="1"/>
    <col min="21" max="21" width="6.6640625" bestFit="1" customWidth="1"/>
    <col min="22" max="22" width="5.44140625" bestFit="1" customWidth="1"/>
    <col min="23" max="23" width="7" bestFit="1" customWidth="1"/>
    <col min="24" max="24" width="5" bestFit="1" customWidth="1"/>
    <col min="25" max="25" width="6" bestFit="1" customWidth="1"/>
    <col min="26" max="26" width="4.88671875" bestFit="1" customWidth="1"/>
    <col min="27" max="27" width="11.44140625" bestFit="1" customWidth="1"/>
    <col min="28" max="28" width="16.21875" bestFit="1" customWidth="1"/>
    <col min="29" max="29" width="12.33203125" bestFit="1" customWidth="1"/>
    <col min="30" max="30" width="5.44140625" bestFit="1" customWidth="1"/>
    <col min="31" max="31" width="6" bestFit="1" customWidth="1"/>
    <col min="32" max="32" width="5.44140625" bestFit="1" customWidth="1"/>
    <col min="33" max="33" width="16.21875" bestFit="1" customWidth="1"/>
    <col min="34" max="34" width="12.33203125" bestFit="1" customWidth="1"/>
    <col min="35" max="35" width="12" bestFit="1" customWidth="1"/>
    <col min="36" max="36" width="5.44140625" bestFit="1" customWidth="1"/>
    <col min="37" max="41" width="12" bestFit="1" customWidth="1"/>
    <col min="42" max="43" width="12.6640625" bestFit="1" customWidth="1"/>
    <col min="44" max="44" width="11" bestFit="1" customWidth="1"/>
    <col min="45" max="47" width="12" bestFit="1" customWidth="1"/>
    <col min="48" max="48" width="15.5546875" bestFit="1" customWidth="1"/>
    <col min="49" max="49" width="4.77734375" bestFit="1" customWidth="1"/>
    <col min="50" max="50" width="17.109375" bestFit="1" customWidth="1"/>
    <col min="51" max="51" width="12.33203125" bestFit="1" customWidth="1"/>
    <col min="52" max="52" width="20.5546875" bestFit="1" customWidth="1"/>
    <col min="53" max="53" width="26.21875" bestFit="1" customWidth="1"/>
    <col min="54" max="54" width="15.77734375" bestFit="1" customWidth="1"/>
    <col min="55" max="55" width="21.44140625" bestFit="1" customWidth="1"/>
    <col min="56" max="56" width="16.109375" bestFit="1" customWidth="1"/>
    <col min="57" max="57" width="21.77734375" bestFit="1" customWidth="1"/>
    <col min="58" max="58" width="12.6640625" bestFit="1" customWidth="1"/>
    <col min="59" max="59" width="17" bestFit="1" customWidth="1"/>
  </cols>
  <sheetData>
    <row r="1" spans="1: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">
      <c r="A2" s="1" t="s">
        <v>59</v>
      </c>
      <c r="B2" s="1" t="s">
        <v>60</v>
      </c>
      <c r="C2" s="1" t="s">
        <v>61</v>
      </c>
      <c r="D2" s="2">
        <v>42331.875057870369</v>
      </c>
      <c r="E2" s="1">
        <v>218.97499999999999</v>
      </c>
      <c r="F2" s="1">
        <v>0.2</v>
      </c>
      <c r="G2" s="1">
        <v>20</v>
      </c>
      <c r="H2" s="1">
        <v>86</v>
      </c>
      <c r="I2" s="1">
        <v>-10.8</v>
      </c>
      <c r="J2" s="1">
        <v>-72.5</v>
      </c>
      <c r="K2" s="1">
        <v>9.9999999999999995E-7</v>
      </c>
      <c r="L2" s="1">
        <v>-18.399999999999999</v>
      </c>
      <c r="M2" s="1">
        <v>20</v>
      </c>
      <c r="N2" s="1">
        <v>0.28840315031300001</v>
      </c>
      <c r="O2" s="1">
        <v>-18.399999999999999</v>
      </c>
      <c r="P2" s="1">
        <v>3.5690000000000001E-3</v>
      </c>
      <c r="Q2" s="1" t="s">
        <v>62</v>
      </c>
      <c r="R2" s="1">
        <v>2340</v>
      </c>
      <c r="S2" s="1">
        <v>618.29999999999995</v>
      </c>
      <c r="T2" s="1">
        <v>3754</v>
      </c>
      <c r="U2" s="1">
        <v>6132</v>
      </c>
      <c r="V2" s="1">
        <v>6132</v>
      </c>
      <c r="W2" s="1">
        <v>0.19750000000000001</v>
      </c>
      <c r="X2" s="1">
        <v>5</v>
      </c>
      <c r="Y2" s="1">
        <v>23</v>
      </c>
      <c r="Z2" s="1">
        <v>1</v>
      </c>
      <c r="AA2" s="1">
        <v>7.4999999999999997E-3</v>
      </c>
      <c r="AB2" s="1" t="s">
        <v>63</v>
      </c>
      <c r="AC2" s="1" t="s">
        <v>64</v>
      </c>
      <c r="AD2" s="1">
        <v>40</v>
      </c>
      <c r="AE2" s="1">
        <v>8.6920000000000002</v>
      </c>
      <c r="AF2" s="1">
        <v>200</v>
      </c>
      <c r="AG2" s="1" t="s">
        <v>65</v>
      </c>
      <c r="AH2" s="1" t="s">
        <v>66</v>
      </c>
      <c r="AI2" s="1">
        <v>2.8679999999999999E-6</v>
      </c>
      <c r="AJ2" s="1">
        <v>2</v>
      </c>
      <c r="AK2" s="1">
        <v>4.2399999999999999E-7</v>
      </c>
      <c r="AL2" s="1">
        <v>25.6557754257</v>
      </c>
      <c r="AM2" s="1">
        <v>383.51361521299998</v>
      </c>
      <c r="AN2" s="1">
        <v>0.62027109043100004</v>
      </c>
      <c r="AO2" s="1">
        <v>697350.06973500003</v>
      </c>
      <c r="AP2" s="1">
        <v>-1.69233461461E-3</v>
      </c>
      <c r="AQ2" s="1">
        <v>-2.2976709374799998E-3</v>
      </c>
      <c r="AR2" s="1">
        <v>0.25</v>
      </c>
      <c r="AS2" s="1">
        <v>3.7193625490100002E-3</v>
      </c>
      <c r="AT2" s="1">
        <v>0.277862266365</v>
      </c>
      <c r="AU2" s="1">
        <v>3.6801049763000001E-3</v>
      </c>
      <c r="AV2" s="1">
        <v>0.28082636608400002</v>
      </c>
      <c r="AW2" s="1">
        <v>4</v>
      </c>
      <c r="AX2" s="1">
        <v>3.7154432080000002E-3</v>
      </c>
      <c r="AY2" s="1">
        <v>0.27656939224900001</v>
      </c>
      <c r="AZ2" s="1">
        <v>3.0190708420200001</v>
      </c>
      <c r="BA2" s="1">
        <v>-0.96025064318700004</v>
      </c>
      <c r="BB2" s="1">
        <v>2.69803164635</v>
      </c>
      <c r="BC2" s="1">
        <v>-1.5158739881600001</v>
      </c>
      <c r="BD2" s="1">
        <v>0</v>
      </c>
      <c r="BE2" s="1">
        <v>0</v>
      </c>
      <c r="BF2" s="1">
        <v>0</v>
      </c>
      <c r="BG2" s="1">
        <v>0</v>
      </c>
    </row>
    <row r="3" spans="1:59" x14ac:dyDescent="0.3">
      <c r="A3" s="1" t="s">
        <v>59</v>
      </c>
      <c r="B3" s="1" t="s">
        <v>67</v>
      </c>
      <c r="C3" s="1" t="s">
        <v>68</v>
      </c>
      <c r="D3" s="2">
        <v>42331.809710648151</v>
      </c>
      <c r="E3" s="1">
        <v>287.375</v>
      </c>
      <c r="F3" s="1">
        <v>0.2</v>
      </c>
      <c r="G3" s="1">
        <v>20</v>
      </c>
      <c r="H3" s="1">
        <v>113</v>
      </c>
      <c r="I3" s="1">
        <v>-10.83</v>
      </c>
      <c r="J3" s="1">
        <v>-72.3</v>
      </c>
      <c r="K3" s="1">
        <v>1.5999999999999999E-5</v>
      </c>
      <c r="L3" s="1">
        <v>-19.8</v>
      </c>
      <c r="M3" s="1">
        <v>20</v>
      </c>
      <c r="N3" s="1">
        <v>0.287408759362</v>
      </c>
      <c r="O3" s="1">
        <v>-19.8</v>
      </c>
      <c r="P3" s="1">
        <v>3.565E-3</v>
      </c>
      <c r="Q3" s="1" t="s">
        <v>62</v>
      </c>
      <c r="R3" s="1">
        <v>2338</v>
      </c>
      <c r="S3" s="1">
        <v>605.91999999999996</v>
      </c>
      <c r="T3" s="1">
        <v>3729</v>
      </c>
      <c r="U3" s="1">
        <v>5971</v>
      </c>
      <c r="V3" s="1">
        <v>5971</v>
      </c>
      <c r="W3" s="1">
        <v>0.19750000000000001</v>
      </c>
      <c r="X3" s="1">
        <v>5</v>
      </c>
      <c r="Y3" s="1">
        <v>23</v>
      </c>
      <c r="Z3" s="1">
        <v>1</v>
      </c>
      <c r="AA3" s="1">
        <v>2.12E-2</v>
      </c>
      <c r="AB3" s="1" t="s">
        <v>63</v>
      </c>
      <c r="AC3" s="1" t="s">
        <v>69</v>
      </c>
      <c r="AD3" s="1">
        <v>40</v>
      </c>
      <c r="AE3" s="1">
        <v>8.6920000000000002</v>
      </c>
      <c r="AF3" s="1">
        <v>200</v>
      </c>
      <c r="AG3" s="1" t="s">
        <v>65</v>
      </c>
      <c r="AH3" s="1" t="s">
        <v>70</v>
      </c>
      <c r="AI3" s="1">
        <v>2.8700000000000001E-6</v>
      </c>
      <c r="AJ3" s="1">
        <v>2</v>
      </c>
      <c r="AK3" s="1">
        <v>4.2399999999999999E-7</v>
      </c>
      <c r="AL3" s="1">
        <v>25.6557754257</v>
      </c>
      <c r="AM3" s="1">
        <v>372.98436288699997</v>
      </c>
      <c r="AN3" s="1">
        <v>0.61556701030899996</v>
      </c>
      <c r="AO3" s="1">
        <v>696864.11149799998</v>
      </c>
      <c r="AP3" s="1">
        <v>-1.7108216494799999E-3</v>
      </c>
      <c r="AQ3" s="1">
        <v>-2.3161579723500001E-3</v>
      </c>
      <c r="AR3" s="1">
        <v>0.25</v>
      </c>
      <c r="AS3" s="1">
        <v>3.82702611125E-3</v>
      </c>
      <c r="AT3" s="1">
        <v>0.27004532429599998</v>
      </c>
      <c r="AU3" s="1">
        <v>3.78380856865E-3</v>
      </c>
      <c r="AV3" s="1">
        <v>0.27312970213799997</v>
      </c>
      <c r="AW3" s="1">
        <v>4</v>
      </c>
      <c r="AX3" s="1">
        <v>3.7224090099999998E-3</v>
      </c>
      <c r="AY3" s="1">
        <v>0.27471851300099998</v>
      </c>
      <c r="AZ3" s="1">
        <v>5.7827600070500003</v>
      </c>
      <c r="BA3" s="1">
        <v>1.6226919924000001</v>
      </c>
      <c r="BB3" s="1">
        <v>5.2279401002399997</v>
      </c>
      <c r="BC3" s="1">
        <v>0.58170563305199996</v>
      </c>
      <c r="BD3" s="1">
        <v>0</v>
      </c>
      <c r="BE3" s="1">
        <v>0</v>
      </c>
      <c r="BF3" s="1">
        <v>0</v>
      </c>
      <c r="BG3" s="1">
        <v>0</v>
      </c>
    </row>
    <row r="4" spans="1:59" x14ac:dyDescent="0.3">
      <c r="A4" s="1" t="s">
        <v>59</v>
      </c>
      <c r="B4" s="1" t="s">
        <v>71</v>
      </c>
      <c r="C4" s="1" t="s">
        <v>72</v>
      </c>
      <c r="D4" s="2">
        <v>42331.816793981481</v>
      </c>
      <c r="E4" s="1">
        <v>287.57499999999999</v>
      </c>
      <c r="F4" s="1">
        <v>0.2</v>
      </c>
      <c r="G4" s="1">
        <v>20</v>
      </c>
      <c r="H4" s="1">
        <v>114</v>
      </c>
      <c r="I4" s="1">
        <v>-10.7</v>
      </c>
      <c r="J4" s="1">
        <v>-72.2</v>
      </c>
      <c r="K4" s="1">
        <v>2.0000000000000002E-5</v>
      </c>
      <c r="L4" s="1">
        <v>-19.8</v>
      </c>
      <c r="M4" s="1">
        <v>20</v>
      </c>
      <c r="N4" s="1">
        <v>0.29174270140000003</v>
      </c>
      <c r="O4" s="1">
        <v>-19.8</v>
      </c>
      <c r="P4" s="1">
        <v>3.5209999999999998E-3</v>
      </c>
      <c r="Q4" s="1" t="s">
        <v>62</v>
      </c>
      <c r="R4" s="1">
        <v>2342</v>
      </c>
      <c r="S4" s="1">
        <v>613.32000000000005</v>
      </c>
      <c r="T4" s="1">
        <v>3831</v>
      </c>
      <c r="U4" s="1">
        <v>6158</v>
      </c>
      <c r="V4" s="1">
        <v>6158</v>
      </c>
      <c r="W4" s="1">
        <v>0.19750000000000001</v>
      </c>
      <c r="X4" s="1">
        <v>5</v>
      </c>
      <c r="Y4" s="1">
        <v>23</v>
      </c>
      <c r="Z4" s="1">
        <v>1</v>
      </c>
      <c r="AA4" s="1">
        <v>2.75E-2</v>
      </c>
      <c r="AB4" s="1" t="s">
        <v>63</v>
      </c>
      <c r="AC4" s="1" t="s">
        <v>73</v>
      </c>
      <c r="AD4" s="1">
        <v>40</v>
      </c>
      <c r="AE4" s="1">
        <v>8.6920000000000002</v>
      </c>
      <c r="AF4" s="1">
        <v>200</v>
      </c>
      <c r="AG4" s="1" t="s">
        <v>65</v>
      </c>
      <c r="AH4" s="1" t="s">
        <v>74</v>
      </c>
      <c r="AI4" s="1">
        <v>2.8700000000000001E-6</v>
      </c>
      <c r="AJ4" s="1">
        <v>2</v>
      </c>
      <c r="AK4" s="1">
        <v>4.2399999999999999E-7</v>
      </c>
      <c r="AL4" s="1">
        <v>25.6557754257</v>
      </c>
      <c r="AM4" s="1">
        <v>378.09836420099998</v>
      </c>
      <c r="AN4" s="1">
        <v>0.61647812593899998</v>
      </c>
      <c r="AO4" s="1">
        <v>696864.11149799998</v>
      </c>
      <c r="AP4" s="1">
        <v>-1.7072409650600001E-3</v>
      </c>
      <c r="AQ4" s="1">
        <v>-2.3125772879299998E-3</v>
      </c>
      <c r="AR4" s="1">
        <v>0.25</v>
      </c>
      <c r="AS4" s="1">
        <v>3.77526334681E-3</v>
      </c>
      <c r="AT4" s="1">
        <v>0.27374792494299999</v>
      </c>
      <c r="AU4" s="1">
        <v>3.7331683091899998E-3</v>
      </c>
      <c r="AV4" s="1">
        <v>0.276834694208</v>
      </c>
      <c r="AW4" s="1">
        <v>4</v>
      </c>
      <c r="AX4" s="1">
        <v>3.6764662340000001E-3</v>
      </c>
      <c r="AY4" s="1">
        <v>0.278861094162</v>
      </c>
      <c r="AZ4" s="1">
        <v>5.6833309301600003</v>
      </c>
      <c r="BA4" s="1">
        <v>1.51887272405</v>
      </c>
      <c r="BB4" s="1">
        <v>5.3851657700400004</v>
      </c>
      <c r="BC4" s="1">
        <v>0.73198916063200004</v>
      </c>
      <c r="BD4" s="1">
        <v>0</v>
      </c>
      <c r="BE4" s="1">
        <v>0</v>
      </c>
      <c r="BF4" s="1">
        <v>0</v>
      </c>
      <c r="BG4" s="1">
        <v>0</v>
      </c>
    </row>
    <row r="5" spans="1:59" x14ac:dyDescent="0.3">
      <c r="A5" s="1" t="s">
        <v>59</v>
      </c>
      <c r="B5" s="1" t="s">
        <v>75</v>
      </c>
      <c r="C5" s="1" t="s">
        <v>76</v>
      </c>
      <c r="D5" s="2">
        <v>42331.825381944444</v>
      </c>
      <c r="E5" s="1">
        <v>292.97500000000002</v>
      </c>
      <c r="F5" s="1">
        <v>0.2</v>
      </c>
      <c r="G5" s="1">
        <v>20</v>
      </c>
      <c r="H5" s="1">
        <v>116</v>
      </c>
      <c r="I5" s="1">
        <v>-10.94</v>
      </c>
      <c r="J5" s="1">
        <v>-72.400000000000006</v>
      </c>
      <c r="K5" s="1">
        <v>1.2999999999999999E-5</v>
      </c>
      <c r="L5" s="1">
        <v>-19.8</v>
      </c>
      <c r="M5" s="1">
        <v>20</v>
      </c>
      <c r="N5" s="1">
        <v>0.28379190284400002</v>
      </c>
      <c r="O5" s="1">
        <v>-19.8</v>
      </c>
      <c r="P5" s="1">
        <v>3.65E-3</v>
      </c>
      <c r="Q5" s="1" t="s">
        <v>62</v>
      </c>
      <c r="R5" s="1">
        <v>2343</v>
      </c>
      <c r="S5" s="1">
        <v>607.6</v>
      </c>
      <c r="T5" s="1">
        <v>3764</v>
      </c>
      <c r="U5" s="1">
        <v>5910</v>
      </c>
      <c r="V5" s="1">
        <v>5910</v>
      </c>
      <c r="W5" s="1">
        <v>0.19750000000000001</v>
      </c>
      <c r="X5" s="1">
        <v>5</v>
      </c>
      <c r="Y5" s="1">
        <v>23</v>
      </c>
      <c r="Z5" s="1">
        <v>1</v>
      </c>
      <c r="AA5" s="1">
        <v>5.4999999999999997E-3</v>
      </c>
      <c r="AB5" s="1" t="s">
        <v>63</v>
      </c>
      <c r="AC5" s="1" t="s">
        <v>77</v>
      </c>
      <c r="AD5" s="1">
        <v>40</v>
      </c>
      <c r="AE5" s="1">
        <v>8.6920000000000002</v>
      </c>
      <c r="AF5" s="1">
        <v>200</v>
      </c>
      <c r="AG5" s="1" t="s">
        <v>65</v>
      </c>
      <c r="AH5" s="1" t="s">
        <v>78</v>
      </c>
      <c r="AI5" s="1">
        <v>2.8700000000000001E-6</v>
      </c>
      <c r="AJ5" s="1">
        <v>2</v>
      </c>
      <c r="AK5" s="1">
        <v>4.2399999999999999E-7</v>
      </c>
      <c r="AL5" s="1">
        <v>25.6557754257</v>
      </c>
      <c r="AM5" s="1">
        <v>371.19247467399998</v>
      </c>
      <c r="AN5" s="1">
        <v>0.61091585693600003</v>
      </c>
      <c r="AO5" s="1">
        <v>696864.11149799998</v>
      </c>
      <c r="AP5" s="1">
        <v>-1.7291006822400001E-3</v>
      </c>
      <c r="AQ5" s="1">
        <v>-2.3344370051100001E-3</v>
      </c>
      <c r="AR5" s="1">
        <v>0.25</v>
      </c>
      <c r="AS5" s="1">
        <v>3.8455006317299999E-3</v>
      </c>
      <c r="AT5" s="1">
        <v>0.26874797491199998</v>
      </c>
      <c r="AU5" s="1">
        <v>3.7992894359599998E-3</v>
      </c>
      <c r="AV5" s="1">
        <v>0.27201678754000003</v>
      </c>
      <c r="AW5" s="1">
        <v>4</v>
      </c>
      <c r="AX5" s="1">
        <v>3.8111620999999999E-3</v>
      </c>
      <c r="AY5" s="1">
        <v>0.27126135516599997</v>
      </c>
      <c r="AZ5" s="1">
        <v>3.9294041286699999</v>
      </c>
      <c r="BA5" s="1">
        <v>-0.31249696143299999</v>
      </c>
      <c r="BB5" s="1">
        <v>4.3288193390799998</v>
      </c>
      <c r="BC5" s="1">
        <v>-0.27771535001999997</v>
      </c>
      <c r="BD5" s="1">
        <v>0</v>
      </c>
      <c r="BE5" s="1">
        <v>0</v>
      </c>
      <c r="BF5" s="1">
        <v>0</v>
      </c>
      <c r="BG5" s="1">
        <v>0</v>
      </c>
    </row>
    <row r="6" spans="1:59" x14ac:dyDescent="0.3">
      <c r="A6" s="1" t="s">
        <v>59</v>
      </c>
      <c r="B6" s="1" t="s">
        <v>79</v>
      </c>
      <c r="C6" s="1" t="s">
        <v>80</v>
      </c>
      <c r="D6" s="2">
        <v>42331.979074074072</v>
      </c>
      <c r="E6" s="1">
        <v>288.97500000000002</v>
      </c>
      <c r="F6" s="1">
        <v>0.2</v>
      </c>
      <c r="G6" s="1">
        <v>20</v>
      </c>
      <c r="H6" s="1">
        <v>114</v>
      </c>
      <c r="I6" s="1">
        <v>-10.69</v>
      </c>
      <c r="J6" s="1">
        <v>-72.3</v>
      </c>
      <c r="K6" s="1">
        <v>1.4E-5</v>
      </c>
      <c r="L6" s="1">
        <v>-18.899999999999999</v>
      </c>
      <c r="M6" s="1">
        <v>20</v>
      </c>
      <c r="N6" s="1">
        <v>0.29207877602100002</v>
      </c>
      <c r="O6" s="1">
        <v>-18.899999999999999</v>
      </c>
      <c r="P6" s="1">
        <v>3.5339999999999998E-3</v>
      </c>
      <c r="Q6" s="1" t="s">
        <v>62</v>
      </c>
      <c r="R6" s="1">
        <v>831</v>
      </c>
      <c r="S6" s="1">
        <v>619.12</v>
      </c>
      <c r="T6" s="1">
        <v>3646</v>
      </c>
      <c r="U6" s="1">
        <v>6239</v>
      </c>
      <c r="V6" s="1">
        <v>6239</v>
      </c>
      <c r="W6" s="1">
        <v>0.19750000000000001</v>
      </c>
      <c r="X6" s="1">
        <v>5</v>
      </c>
      <c r="Y6" s="1">
        <v>23</v>
      </c>
      <c r="Z6" s="1">
        <v>1</v>
      </c>
      <c r="AA6" s="1">
        <v>1.95E-2</v>
      </c>
      <c r="AB6" s="1" t="s">
        <v>63</v>
      </c>
      <c r="AC6" s="1" t="s">
        <v>81</v>
      </c>
      <c r="AD6" s="1">
        <v>40</v>
      </c>
      <c r="AE6" s="1">
        <v>8.6920000000000002</v>
      </c>
      <c r="AF6" s="1">
        <v>200</v>
      </c>
      <c r="AG6" s="1" t="s">
        <v>65</v>
      </c>
      <c r="AH6" s="1" t="s">
        <v>82</v>
      </c>
      <c r="AI6" s="1">
        <v>2.869E-6</v>
      </c>
      <c r="AJ6" s="1">
        <v>2</v>
      </c>
      <c r="AK6" s="1">
        <v>4.2399999999999999E-7</v>
      </c>
      <c r="AL6" s="1">
        <v>25.6557754257</v>
      </c>
      <c r="AM6" s="1">
        <v>390.76273950400002</v>
      </c>
      <c r="AN6" s="1">
        <v>0.63115832068800004</v>
      </c>
      <c r="AO6" s="1">
        <v>697107.00592499995</v>
      </c>
      <c r="AP6" s="1">
        <v>-1.6495477996999999E-3</v>
      </c>
      <c r="AQ6" s="1">
        <v>-2.2548841225700001E-3</v>
      </c>
      <c r="AR6" s="1">
        <v>0.25</v>
      </c>
      <c r="AS6" s="1">
        <v>3.6516366388200001E-3</v>
      </c>
      <c r="AT6" s="1">
        <v>0.283015702142</v>
      </c>
      <c r="AU6" s="1">
        <v>3.6194000887599998E-3</v>
      </c>
      <c r="AV6" s="1">
        <v>0.28553640989000001</v>
      </c>
      <c r="AW6" s="1">
        <v>4</v>
      </c>
      <c r="AX6" s="1">
        <v>3.682947498E-3</v>
      </c>
      <c r="AY6" s="1">
        <v>0.27976853184799999</v>
      </c>
      <c r="AZ6" s="1">
        <v>2.3595094952100002</v>
      </c>
      <c r="BA6" s="1">
        <v>-1.75574425809</v>
      </c>
      <c r="BB6" s="1">
        <v>2.2912546014699999</v>
      </c>
      <c r="BC6" s="1">
        <v>-2.0200149062200001</v>
      </c>
      <c r="BD6" s="1">
        <v>0</v>
      </c>
      <c r="BE6" s="1">
        <v>0</v>
      </c>
      <c r="BF6" s="1">
        <v>0</v>
      </c>
      <c r="BG6" s="1">
        <v>0</v>
      </c>
    </row>
    <row r="7" spans="1:59" x14ac:dyDescent="0.3">
      <c r="A7" s="1" t="s">
        <v>59</v>
      </c>
      <c r="B7" s="1" t="s">
        <v>83</v>
      </c>
      <c r="C7" s="1" t="s">
        <v>84</v>
      </c>
      <c r="D7" s="2">
        <v>42331.842233796298</v>
      </c>
      <c r="E7" s="1">
        <v>292.97500000000002</v>
      </c>
      <c r="F7" s="1">
        <v>0.2</v>
      </c>
      <c r="G7" s="1">
        <v>20</v>
      </c>
      <c r="H7" s="1">
        <v>116</v>
      </c>
      <c r="I7" s="1">
        <v>-10.55</v>
      </c>
      <c r="J7" s="1">
        <v>-72</v>
      </c>
      <c r="K7" s="1">
        <v>1.5E-5</v>
      </c>
      <c r="L7" s="1">
        <v>-19.100000000000001</v>
      </c>
      <c r="M7" s="1">
        <v>20</v>
      </c>
      <c r="N7" s="1">
        <v>0.29682467434600002</v>
      </c>
      <c r="O7" s="1">
        <v>-19.100000000000001</v>
      </c>
      <c r="P7" s="1">
        <v>3.4610000000000001E-3</v>
      </c>
      <c r="Q7" s="1" t="s">
        <v>62</v>
      </c>
      <c r="R7" s="1">
        <v>2345</v>
      </c>
      <c r="S7" s="1">
        <v>620.79</v>
      </c>
      <c r="T7" s="1">
        <v>3746</v>
      </c>
      <c r="U7" s="1">
        <v>6277</v>
      </c>
      <c r="V7" s="1">
        <v>6277</v>
      </c>
      <c r="W7" s="1">
        <v>0.19750000000000001</v>
      </c>
      <c r="X7" s="1">
        <v>5</v>
      </c>
      <c r="Y7" s="1">
        <v>23</v>
      </c>
      <c r="Z7" s="1">
        <v>1</v>
      </c>
      <c r="AA7" s="1">
        <v>2.2599999999999999E-2</v>
      </c>
      <c r="AB7" s="1" t="s">
        <v>63</v>
      </c>
      <c r="AC7" s="1" t="s">
        <v>85</v>
      </c>
      <c r="AD7" s="1">
        <v>40</v>
      </c>
      <c r="AE7" s="1">
        <v>8.6920000000000002</v>
      </c>
      <c r="AF7" s="1">
        <v>200</v>
      </c>
      <c r="AG7" s="1" t="s">
        <v>65</v>
      </c>
      <c r="AH7" s="1" t="s">
        <v>86</v>
      </c>
      <c r="AI7" s="1">
        <v>2.869E-6</v>
      </c>
      <c r="AJ7" s="1">
        <v>2</v>
      </c>
      <c r="AK7" s="1">
        <v>4.2399999999999999E-7</v>
      </c>
      <c r="AL7" s="1">
        <v>25.6557754257</v>
      </c>
      <c r="AM7" s="1">
        <v>388.77569889300003</v>
      </c>
      <c r="AN7" s="1">
        <v>0.62625960291299998</v>
      </c>
      <c r="AO7" s="1">
        <v>697107.00592499995</v>
      </c>
      <c r="AP7" s="1">
        <v>-1.66879976055E-3</v>
      </c>
      <c r="AQ7" s="1">
        <v>-2.27413608342E-3</v>
      </c>
      <c r="AR7" s="1">
        <v>0.25</v>
      </c>
      <c r="AS7" s="1">
        <v>3.6703002289599999E-3</v>
      </c>
      <c r="AT7" s="1">
        <v>0.281576558546</v>
      </c>
      <c r="AU7" s="1">
        <v>3.6350333369199999E-3</v>
      </c>
      <c r="AV7" s="1">
        <v>0.28430839871699998</v>
      </c>
      <c r="AW7" s="1">
        <v>4</v>
      </c>
      <c r="AX7" s="1">
        <v>3.6084143730000001E-3</v>
      </c>
      <c r="AY7" s="1">
        <v>0.28418202099200002</v>
      </c>
      <c r="AZ7" s="1">
        <v>4.7876682492000002</v>
      </c>
      <c r="BA7" s="1">
        <v>0.73228940293400002</v>
      </c>
      <c r="BB7" s="1">
        <v>4.4023587364700001</v>
      </c>
      <c r="BC7" s="1">
        <v>-4.4450929192500002E-2</v>
      </c>
      <c r="BD7" s="1">
        <v>0</v>
      </c>
      <c r="BE7" s="1">
        <v>0</v>
      </c>
      <c r="BF7" s="1">
        <v>0</v>
      </c>
      <c r="BG7" s="1">
        <v>0</v>
      </c>
    </row>
    <row r="8" spans="1:59" x14ac:dyDescent="0.3">
      <c r="A8" s="1" t="s">
        <v>59</v>
      </c>
      <c r="B8" s="1" t="s">
        <v>87</v>
      </c>
      <c r="C8" s="1" t="s">
        <v>88</v>
      </c>
      <c r="D8" s="2">
        <v>42331.850787037038</v>
      </c>
      <c r="E8" s="1">
        <v>288.97500000000002</v>
      </c>
      <c r="F8" s="1">
        <v>0.2</v>
      </c>
      <c r="G8" s="1">
        <v>20</v>
      </c>
      <c r="H8" s="1">
        <v>114</v>
      </c>
      <c r="I8" s="1">
        <v>-10.039999999999999</v>
      </c>
      <c r="J8" s="1">
        <v>107.9</v>
      </c>
      <c r="K8" s="1">
        <v>1.5999999999999999E-5</v>
      </c>
      <c r="L8" s="1">
        <v>-19.100000000000001</v>
      </c>
      <c r="M8" s="1">
        <v>20</v>
      </c>
      <c r="N8" s="1">
        <v>0.31477483141000001</v>
      </c>
      <c r="O8" s="1">
        <v>-19.100000000000001</v>
      </c>
      <c r="P8" s="1">
        <v>3.2690000000000002E-3</v>
      </c>
      <c r="Q8" s="1" t="s">
        <v>62</v>
      </c>
      <c r="R8" s="1">
        <v>2347</v>
      </c>
      <c r="S8" s="1">
        <v>639.15</v>
      </c>
      <c r="T8" s="1">
        <v>3957</v>
      </c>
      <c r="U8" s="1">
        <v>6665</v>
      </c>
      <c r="V8" s="1">
        <v>6665</v>
      </c>
      <c r="W8" s="1">
        <v>0.19750000000000001</v>
      </c>
      <c r="X8" s="1">
        <v>5</v>
      </c>
      <c r="Y8" s="1">
        <v>23</v>
      </c>
      <c r="Z8" s="1">
        <v>1</v>
      </c>
      <c r="AA8" s="1">
        <v>2.4199999999999999E-2</v>
      </c>
      <c r="AB8" s="1" t="s">
        <v>63</v>
      </c>
      <c r="AC8" s="1" t="s">
        <v>89</v>
      </c>
      <c r="AD8" s="1">
        <v>40</v>
      </c>
      <c r="AE8" s="1">
        <v>8.6920000000000002</v>
      </c>
      <c r="AF8" s="1">
        <v>200</v>
      </c>
      <c r="AG8" s="1" t="s">
        <v>65</v>
      </c>
      <c r="AH8" s="1" t="s">
        <v>90</v>
      </c>
      <c r="AI8" s="1">
        <v>2.869E-6</v>
      </c>
      <c r="AJ8" s="1">
        <v>2</v>
      </c>
      <c r="AK8" s="1">
        <v>4.2399999999999999E-7</v>
      </c>
      <c r="AL8" s="1">
        <v>25.6557754257</v>
      </c>
      <c r="AM8" s="1">
        <v>401.04827245299998</v>
      </c>
      <c r="AN8" s="1">
        <v>0.62747128601000002</v>
      </c>
      <c r="AO8" s="1">
        <v>697107.00592499995</v>
      </c>
      <c r="AP8" s="1">
        <v>-1.66403784598E-3</v>
      </c>
      <c r="AQ8" s="1">
        <v>-2.2693741688500002E-3</v>
      </c>
      <c r="AR8" s="1">
        <v>0.25</v>
      </c>
      <c r="AS8" s="1">
        <v>3.5579844988000001E-3</v>
      </c>
      <c r="AT8" s="1">
        <v>0.29046515173199999</v>
      </c>
      <c r="AU8" s="1">
        <v>3.5244849460000002E-3</v>
      </c>
      <c r="AV8" s="1">
        <v>0.29322596723599997</v>
      </c>
      <c r="AW8" s="1">
        <v>4</v>
      </c>
      <c r="AX8" s="1">
        <v>3.4082365169999999E-3</v>
      </c>
      <c r="AY8" s="1">
        <v>0.30136762701600001</v>
      </c>
      <c r="AZ8" s="1">
        <v>7.2488590508200001</v>
      </c>
      <c r="BA8" s="1">
        <v>3.2983097043699998</v>
      </c>
      <c r="BB8" s="1">
        <v>7.34889354336</v>
      </c>
      <c r="BC8" s="1">
        <v>2.7765821206700001</v>
      </c>
      <c r="BD8" s="1">
        <v>0</v>
      </c>
      <c r="BE8" s="1">
        <v>0</v>
      </c>
      <c r="BF8" s="1">
        <v>0</v>
      </c>
      <c r="BG8" s="1">
        <v>0</v>
      </c>
    </row>
    <row r="9" spans="1:59" x14ac:dyDescent="0.3">
      <c r="A9" s="1" t="s">
        <v>59</v>
      </c>
      <c r="B9" s="1" t="s">
        <v>91</v>
      </c>
      <c r="C9" s="1" t="s">
        <v>92</v>
      </c>
      <c r="D9" s="2">
        <v>42331.858495370368</v>
      </c>
      <c r="E9" s="1">
        <v>287.97500000000002</v>
      </c>
      <c r="F9" s="1">
        <v>0.2</v>
      </c>
      <c r="G9" s="1">
        <v>20</v>
      </c>
      <c r="H9" s="1">
        <v>114</v>
      </c>
      <c r="I9" s="1">
        <v>-10.6</v>
      </c>
      <c r="J9" s="1">
        <v>-71.900000000000006</v>
      </c>
      <c r="K9" s="1">
        <v>1.4E-5</v>
      </c>
      <c r="L9" s="1">
        <v>-19.100000000000001</v>
      </c>
      <c r="M9" s="1">
        <v>20</v>
      </c>
      <c r="N9" s="1">
        <v>0.29512092266700002</v>
      </c>
      <c r="O9" s="1">
        <v>-19.100000000000001</v>
      </c>
      <c r="P9" s="1">
        <v>3.4810000000000002E-3</v>
      </c>
      <c r="Q9" s="1" t="s">
        <v>62</v>
      </c>
      <c r="R9" s="1">
        <v>2493</v>
      </c>
      <c r="S9" s="1">
        <v>621.46</v>
      </c>
      <c r="T9" s="1">
        <v>3761</v>
      </c>
      <c r="U9" s="1">
        <v>6296</v>
      </c>
      <c r="V9" s="1">
        <v>6296</v>
      </c>
      <c r="W9" s="1">
        <v>0.19750000000000001</v>
      </c>
      <c r="X9" s="1">
        <v>5</v>
      </c>
      <c r="Y9" s="1">
        <v>23</v>
      </c>
      <c r="Z9" s="1">
        <v>1</v>
      </c>
      <c r="AA9" s="1">
        <v>2.3400000000000001E-2</v>
      </c>
      <c r="AB9" s="1" t="s">
        <v>63</v>
      </c>
      <c r="AC9" s="1" t="s">
        <v>93</v>
      </c>
      <c r="AD9" s="1">
        <v>40</v>
      </c>
      <c r="AE9" s="1">
        <v>8.6920000000000002</v>
      </c>
      <c r="AF9" s="1">
        <v>200</v>
      </c>
      <c r="AG9" s="1" t="s">
        <v>65</v>
      </c>
      <c r="AH9" s="1" t="s">
        <v>94</v>
      </c>
      <c r="AI9" s="1">
        <v>2.8729999999999999E-6</v>
      </c>
      <c r="AJ9" s="1">
        <v>2</v>
      </c>
      <c r="AK9" s="1">
        <v>4.2399999999999999E-7</v>
      </c>
      <c r="AL9" s="1">
        <v>25.6557754257</v>
      </c>
      <c r="AM9" s="1">
        <v>389.05361042099997</v>
      </c>
      <c r="AN9" s="1">
        <v>0.62603161976699995</v>
      </c>
      <c r="AO9" s="1">
        <v>696136.44274299999</v>
      </c>
      <c r="AP9" s="1">
        <v>-1.6696957343100001E-3</v>
      </c>
      <c r="AQ9" s="1">
        <v>-2.2750320571800001E-3</v>
      </c>
      <c r="AR9" s="1">
        <v>0.25</v>
      </c>
      <c r="AS9" s="1">
        <v>3.67279196279E-3</v>
      </c>
      <c r="AT9" s="1">
        <v>0.28138552844100001</v>
      </c>
      <c r="AU9" s="1">
        <v>3.63737257517E-3</v>
      </c>
      <c r="AV9" s="1">
        <v>0.28412555654999999</v>
      </c>
      <c r="AW9" s="1">
        <v>4</v>
      </c>
      <c r="AX9" s="1">
        <v>3.6292662329999999E-3</v>
      </c>
      <c r="AY9" s="1">
        <v>0.28255083720700003</v>
      </c>
      <c r="AZ9" s="1">
        <v>4.2990530098599997</v>
      </c>
      <c r="BA9" s="1">
        <v>0.22286257470900001</v>
      </c>
      <c r="BB9" s="1">
        <v>3.86989690394</v>
      </c>
      <c r="BC9" s="1">
        <v>-0.55423361488599998</v>
      </c>
      <c r="BD9" s="1">
        <v>0</v>
      </c>
      <c r="BE9" s="1">
        <v>0</v>
      </c>
      <c r="BF9" s="1">
        <v>0</v>
      </c>
      <c r="BG9" s="1">
        <v>0</v>
      </c>
    </row>
    <row r="10" spans="1:59" x14ac:dyDescent="0.3">
      <c r="A10" s="1" t="s">
        <v>59</v>
      </c>
      <c r="B10" s="1" t="s">
        <v>95</v>
      </c>
      <c r="C10" s="1" t="s">
        <v>96</v>
      </c>
      <c r="D10" s="2">
        <v>42331.866261574076</v>
      </c>
      <c r="E10" s="1">
        <v>287.375</v>
      </c>
      <c r="F10" s="1">
        <v>0.2</v>
      </c>
      <c r="G10" s="1">
        <v>20</v>
      </c>
      <c r="H10" s="1">
        <v>113</v>
      </c>
      <c r="I10" s="1">
        <v>-10.93</v>
      </c>
      <c r="J10" s="1">
        <v>-72.3</v>
      </c>
      <c r="K10" s="1">
        <v>1.4E-5</v>
      </c>
      <c r="L10" s="1">
        <v>-19.100000000000001</v>
      </c>
      <c r="M10" s="1">
        <v>20</v>
      </c>
      <c r="N10" s="1">
        <v>0.28411881849800003</v>
      </c>
      <c r="O10" s="1">
        <v>-19.100000000000001</v>
      </c>
      <c r="P10" s="1">
        <v>3.6110000000000001E-3</v>
      </c>
      <c r="Q10" s="1" t="s">
        <v>62</v>
      </c>
      <c r="R10" s="1">
        <v>2348</v>
      </c>
      <c r="S10" s="1">
        <v>601.74</v>
      </c>
      <c r="T10" s="1">
        <v>3754</v>
      </c>
      <c r="U10" s="1">
        <v>5886</v>
      </c>
      <c r="V10" s="1">
        <v>5886</v>
      </c>
      <c r="W10" s="1">
        <v>0.19750000000000001</v>
      </c>
      <c r="X10" s="1">
        <v>5</v>
      </c>
      <c r="Y10" s="1">
        <v>23</v>
      </c>
      <c r="Z10" s="1">
        <v>1</v>
      </c>
      <c r="AA10" s="1">
        <v>2.07E-2</v>
      </c>
      <c r="AB10" s="1" t="s">
        <v>63</v>
      </c>
      <c r="AC10" s="1" t="s">
        <v>97</v>
      </c>
      <c r="AD10" s="1">
        <v>40</v>
      </c>
      <c r="AE10" s="1">
        <v>8.6920000000000002</v>
      </c>
      <c r="AF10" s="1">
        <v>200</v>
      </c>
      <c r="AG10" s="1" t="s">
        <v>65</v>
      </c>
      <c r="AH10" s="1" t="s">
        <v>98</v>
      </c>
      <c r="AI10" s="1">
        <v>2.8650000000000001E-6</v>
      </c>
      <c r="AJ10" s="1">
        <v>2</v>
      </c>
      <c r="AK10" s="1">
        <v>4.2399999999999999E-7</v>
      </c>
      <c r="AL10" s="1">
        <v>25.6557754257</v>
      </c>
      <c r="AM10" s="1">
        <v>367.41095850599999</v>
      </c>
      <c r="AN10" s="1">
        <v>0.61058091286299998</v>
      </c>
      <c r="AO10" s="1">
        <v>698080.279232</v>
      </c>
      <c r="AP10" s="1">
        <v>-1.73041701245E-3</v>
      </c>
      <c r="AQ10" s="1">
        <v>-2.3357533353199999E-3</v>
      </c>
      <c r="AR10" s="1">
        <v>0.25</v>
      </c>
      <c r="AS10" s="1">
        <v>3.8783113755300001E-3</v>
      </c>
      <c r="AT10" s="1">
        <v>0.26647435113700002</v>
      </c>
      <c r="AU10" s="1">
        <v>3.8315059108600001E-3</v>
      </c>
      <c r="AV10" s="1">
        <v>0.26972958709799999</v>
      </c>
      <c r="AW10" s="1">
        <v>4</v>
      </c>
      <c r="AX10" s="1">
        <v>3.7648033230000002E-3</v>
      </c>
      <c r="AY10" s="1">
        <v>0.27201734566199998</v>
      </c>
      <c r="AZ10" s="1">
        <v>5.7550716609399997</v>
      </c>
      <c r="BA10" s="1">
        <v>1.74089742819</v>
      </c>
      <c r="BB10" s="1">
        <v>5.3346878089100001</v>
      </c>
      <c r="BC10" s="1">
        <v>0.84816745106400004</v>
      </c>
      <c r="BD10" s="1">
        <v>0</v>
      </c>
      <c r="BE10" s="1">
        <v>0</v>
      </c>
      <c r="BF10" s="1">
        <v>0</v>
      </c>
      <c r="BG10" s="1">
        <v>0</v>
      </c>
    </row>
    <row r="11" spans="1:59" x14ac:dyDescent="0.3">
      <c r="A11" s="1" t="s">
        <v>59</v>
      </c>
      <c r="B11" s="1" t="s">
        <v>99</v>
      </c>
      <c r="C11" s="1" t="s">
        <v>100</v>
      </c>
      <c r="D11" s="2">
        <v>42331.686331018522</v>
      </c>
      <c r="E11" s="1">
        <v>287.97500000000002</v>
      </c>
      <c r="F11" s="1">
        <v>0.2</v>
      </c>
      <c r="G11" s="1">
        <v>20</v>
      </c>
      <c r="H11" s="1">
        <v>114</v>
      </c>
      <c r="I11" s="1">
        <v>-10.37</v>
      </c>
      <c r="J11" s="1">
        <v>-72.400000000000006</v>
      </c>
      <c r="K11" s="1">
        <v>9.5000000000000005E-6</v>
      </c>
      <c r="L11" s="1">
        <v>-23.9</v>
      </c>
      <c r="M11" s="1">
        <v>20</v>
      </c>
      <c r="N11" s="1">
        <v>0.30304002977900002</v>
      </c>
      <c r="O11" s="1">
        <v>-23.9</v>
      </c>
      <c r="P11" s="1">
        <v>3.418E-3</v>
      </c>
      <c r="Q11" s="1" t="s">
        <v>62</v>
      </c>
      <c r="R11" s="1">
        <v>1192</v>
      </c>
      <c r="S11" s="1">
        <v>619.20000000000005</v>
      </c>
      <c r="T11" s="1">
        <v>3774</v>
      </c>
      <c r="U11" s="1">
        <v>6249</v>
      </c>
      <c r="V11" s="1">
        <v>6249</v>
      </c>
      <c r="W11" s="1">
        <v>0.19750000000000001</v>
      </c>
      <c r="X11" s="1">
        <v>5</v>
      </c>
      <c r="Y11" s="1">
        <v>23</v>
      </c>
      <c r="Z11" s="1">
        <v>1</v>
      </c>
      <c r="AA11" s="1">
        <v>2.3300000000000001E-2</v>
      </c>
      <c r="AB11" s="1" t="s">
        <v>63</v>
      </c>
      <c r="AC11" s="1" t="s">
        <v>101</v>
      </c>
      <c r="AD11" s="1">
        <v>40</v>
      </c>
      <c r="AE11" s="1">
        <v>8.6920000000000002</v>
      </c>
      <c r="AF11" s="1">
        <v>200</v>
      </c>
      <c r="AG11" s="1" t="s">
        <v>65</v>
      </c>
      <c r="AH11" s="1" t="s">
        <v>102</v>
      </c>
      <c r="AI11" s="1">
        <v>2.8669999999999998E-6</v>
      </c>
      <c r="AJ11" s="1">
        <v>2</v>
      </c>
      <c r="AK11" s="1">
        <v>4.2399999999999999E-7</v>
      </c>
      <c r="AL11" s="1">
        <v>25.6557754257</v>
      </c>
      <c r="AM11" s="1">
        <v>386.05016462100002</v>
      </c>
      <c r="AN11" s="1">
        <v>0.62346602813499996</v>
      </c>
      <c r="AO11" s="1">
        <v>697593.30310400005</v>
      </c>
      <c r="AP11" s="1">
        <v>-1.67977850943E-3</v>
      </c>
      <c r="AQ11" s="1">
        <v>-2.2851148323000002E-3</v>
      </c>
      <c r="AR11" s="1">
        <v>0.25</v>
      </c>
      <c r="AS11" s="1">
        <v>3.6936360839600001E-3</v>
      </c>
      <c r="AT11" s="1">
        <v>0.27979759884599997</v>
      </c>
      <c r="AU11" s="1">
        <v>3.6565157529700001E-3</v>
      </c>
      <c r="AV11" s="1">
        <v>0.282638056862</v>
      </c>
      <c r="AW11" s="1">
        <v>4</v>
      </c>
      <c r="AX11" s="1">
        <v>3.6001691460000001E-3</v>
      </c>
      <c r="AY11" s="1">
        <v>0.28688890531200001</v>
      </c>
      <c r="AZ11" s="1">
        <v>6.5230336495100003</v>
      </c>
      <c r="BA11" s="1">
        <v>1.5409917739300001</v>
      </c>
      <c r="BB11" s="1">
        <v>7.2184097017099997</v>
      </c>
      <c r="BC11" s="1">
        <v>1.5039901198400001</v>
      </c>
      <c r="BD11" s="1">
        <v>0</v>
      </c>
      <c r="BE11" s="1">
        <v>0</v>
      </c>
      <c r="BF11" s="1">
        <v>0</v>
      </c>
      <c r="BG11" s="1">
        <v>0</v>
      </c>
    </row>
    <row r="12" spans="1:59" x14ac:dyDescent="0.3">
      <c r="A12" s="1" t="s">
        <v>59</v>
      </c>
      <c r="B12" s="1" t="s">
        <v>103</v>
      </c>
      <c r="C12" s="1" t="s">
        <v>104</v>
      </c>
      <c r="D12" s="2">
        <v>42331.711863425924</v>
      </c>
      <c r="E12" s="1">
        <v>287.67500000000001</v>
      </c>
      <c r="F12" s="1">
        <v>0.2</v>
      </c>
      <c r="G12" s="1">
        <v>20</v>
      </c>
      <c r="H12" s="1">
        <v>114</v>
      </c>
      <c r="I12" s="1">
        <v>-10.32</v>
      </c>
      <c r="J12" s="1">
        <v>-72</v>
      </c>
      <c r="K12" s="1">
        <v>8.8999999999999995E-6</v>
      </c>
      <c r="L12" s="1">
        <v>-22.7</v>
      </c>
      <c r="M12" s="1">
        <v>20</v>
      </c>
      <c r="N12" s="1">
        <v>0.30478949896300001</v>
      </c>
      <c r="O12" s="1">
        <v>-22.7</v>
      </c>
      <c r="P12" s="1">
        <v>3.375E-3</v>
      </c>
      <c r="Q12" s="1" t="s">
        <v>62</v>
      </c>
      <c r="R12" s="1">
        <v>832</v>
      </c>
      <c r="S12" s="1">
        <v>628.26</v>
      </c>
      <c r="T12" s="1">
        <v>3591</v>
      </c>
      <c r="U12" s="1">
        <v>6355</v>
      </c>
      <c r="V12" s="1">
        <v>6355</v>
      </c>
      <c r="W12" s="1">
        <v>0.19750000000000001</v>
      </c>
      <c r="X12" s="1">
        <v>5</v>
      </c>
      <c r="Y12" s="1">
        <v>23</v>
      </c>
      <c r="Z12" s="1">
        <v>1</v>
      </c>
      <c r="AA12" s="1">
        <v>1.12E-2</v>
      </c>
      <c r="AB12" s="1" t="s">
        <v>63</v>
      </c>
      <c r="AC12" s="1" t="s">
        <v>105</v>
      </c>
      <c r="AD12" s="1">
        <v>40</v>
      </c>
      <c r="AE12" s="1">
        <v>8.6920000000000002</v>
      </c>
      <c r="AF12" s="1">
        <v>200</v>
      </c>
      <c r="AG12" s="1" t="s">
        <v>65</v>
      </c>
      <c r="AH12" s="1" t="s">
        <v>106</v>
      </c>
      <c r="AI12" s="1">
        <v>2.8669999999999998E-6</v>
      </c>
      <c r="AJ12" s="1">
        <v>2</v>
      </c>
      <c r="AK12" s="1">
        <v>4.2399999999999999E-7</v>
      </c>
      <c r="AL12" s="1">
        <v>25.6557754257</v>
      </c>
      <c r="AM12" s="1">
        <v>401.42693545100002</v>
      </c>
      <c r="AN12" s="1">
        <v>0.638950331792</v>
      </c>
      <c r="AO12" s="1">
        <v>697593.30310400005</v>
      </c>
      <c r="AP12" s="1">
        <v>-1.6189251960600001E-3</v>
      </c>
      <c r="AQ12" s="1">
        <v>-2.22426151893E-3</v>
      </c>
      <c r="AR12" s="1">
        <v>0.25</v>
      </c>
      <c r="AS12" s="1">
        <v>3.5521503226000001E-3</v>
      </c>
      <c r="AT12" s="1">
        <v>0.29094222187800001</v>
      </c>
      <c r="AU12" s="1">
        <v>3.52524020478E-3</v>
      </c>
      <c r="AV12" s="1">
        <v>0.29316314556400003</v>
      </c>
      <c r="AW12" s="1">
        <v>4</v>
      </c>
      <c r="AX12" s="1">
        <v>3.5458458750000001E-3</v>
      </c>
      <c r="AY12" s="1">
        <v>0.28936074973600001</v>
      </c>
      <c r="AZ12" s="1">
        <v>4.2618430533499998</v>
      </c>
      <c r="BA12" s="1">
        <v>-0.58451818944199996</v>
      </c>
      <c r="BB12" s="1">
        <v>3.9658304854600002</v>
      </c>
      <c r="BC12" s="1">
        <v>-1.2970238195499999</v>
      </c>
      <c r="BD12" s="1">
        <v>0</v>
      </c>
      <c r="BE12" s="1">
        <v>0</v>
      </c>
      <c r="BF12" s="1">
        <v>0</v>
      </c>
      <c r="BG12" s="1">
        <v>0</v>
      </c>
    </row>
    <row r="13" spans="1:59" x14ac:dyDescent="0.3">
      <c r="A13" s="1" t="s">
        <v>59</v>
      </c>
      <c r="B13" s="1" t="s">
        <v>107</v>
      </c>
      <c r="C13" s="1" t="s">
        <v>108</v>
      </c>
      <c r="D13" s="2">
        <v>42331.728344907409</v>
      </c>
      <c r="E13" s="1">
        <v>154</v>
      </c>
      <c r="F13" s="1">
        <v>0.2</v>
      </c>
      <c r="G13" s="1">
        <v>20</v>
      </c>
      <c r="H13" s="1">
        <v>60</v>
      </c>
      <c r="I13" s="1">
        <v>-11.63</v>
      </c>
      <c r="J13" s="1">
        <v>-72.599999999999994</v>
      </c>
      <c r="K13" s="1">
        <v>1.1000000000000001E-6</v>
      </c>
      <c r="L13" s="1">
        <v>-22.7</v>
      </c>
      <c r="M13" s="1">
        <v>20</v>
      </c>
      <c r="N13" s="1">
        <v>0.26211990386400003</v>
      </c>
      <c r="O13" s="1">
        <v>-22.7</v>
      </c>
      <c r="P13" s="1">
        <v>3.8270000000000001E-3</v>
      </c>
      <c r="Q13" s="1" t="s">
        <v>62</v>
      </c>
      <c r="R13" s="1">
        <v>822</v>
      </c>
      <c r="S13" s="1">
        <v>619.91999999999996</v>
      </c>
      <c r="T13" s="1">
        <v>3790</v>
      </c>
      <c r="U13" s="1">
        <v>6255</v>
      </c>
      <c r="V13" s="1">
        <v>6255</v>
      </c>
      <c r="W13" s="1">
        <v>0.19750000000000001</v>
      </c>
      <c r="X13" s="1">
        <v>5</v>
      </c>
      <c r="Y13" s="1">
        <v>23</v>
      </c>
      <c r="Z13" s="1">
        <v>1</v>
      </c>
      <c r="AA13" s="1">
        <v>2.1899999999999999E-2</v>
      </c>
      <c r="AB13" s="1" t="s">
        <v>63</v>
      </c>
      <c r="AC13" s="1" t="s">
        <v>109</v>
      </c>
      <c r="AD13" s="1">
        <v>40</v>
      </c>
      <c r="AE13" s="1">
        <v>8.6920000000000002</v>
      </c>
      <c r="AF13" s="1">
        <v>200</v>
      </c>
      <c r="AG13" s="1" t="s">
        <v>65</v>
      </c>
      <c r="AH13" s="1" t="s">
        <v>110</v>
      </c>
      <c r="AI13" s="1">
        <v>2.8669999999999998E-6</v>
      </c>
      <c r="AJ13" s="1">
        <v>2</v>
      </c>
      <c r="AK13" s="1">
        <v>4.2399999999999999E-7</v>
      </c>
      <c r="AL13" s="1">
        <v>25.6557754257</v>
      </c>
      <c r="AM13" s="1">
        <v>386.02285714300001</v>
      </c>
      <c r="AN13" s="1">
        <v>0.62269785963199997</v>
      </c>
      <c r="AO13" s="1">
        <v>697593.30310400005</v>
      </c>
      <c r="AP13" s="1">
        <v>-1.6827974116500001E-3</v>
      </c>
      <c r="AQ13" s="1">
        <v>-2.2881337345199999E-3</v>
      </c>
      <c r="AR13" s="1">
        <v>0.25</v>
      </c>
      <c r="AS13" s="1">
        <v>3.6938973739000002E-3</v>
      </c>
      <c r="AT13" s="1">
        <v>0.279777807203</v>
      </c>
      <c r="AU13" s="1">
        <v>3.6563194701999999E-3</v>
      </c>
      <c r="AV13" s="1">
        <v>0.28265322976399998</v>
      </c>
      <c r="AW13" s="1">
        <v>4</v>
      </c>
      <c r="AX13" s="1">
        <v>4.0207265670000004E-3</v>
      </c>
      <c r="AY13" s="1">
        <v>0.24885113220999999</v>
      </c>
      <c r="AZ13" s="1">
        <v>-4.6680967347499998</v>
      </c>
      <c r="BA13" s="1">
        <v>-9.9665004595499997</v>
      </c>
      <c r="BB13" s="1">
        <v>-7.2644936404599996</v>
      </c>
      <c r="BC13" s="1">
        <v>-11.9588577079</v>
      </c>
      <c r="BD13" s="1">
        <v>0</v>
      </c>
      <c r="BE13" s="1">
        <v>0</v>
      </c>
      <c r="BF13" s="1">
        <v>0</v>
      </c>
      <c r="BG13" s="1">
        <v>0</v>
      </c>
    </row>
    <row r="14" spans="1:59" x14ac:dyDescent="0.3">
      <c r="A14" s="1" t="s">
        <v>59</v>
      </c>
      <c r="B14" s="1" t="s">
        <v>111</v>
      </c>
      <c r="C14" s="1" t="s">
        <v>112</v>
      </c>
      <c r="D14" s="2">
        <v>42331.747997685183</v>
      </c>
      <c r="E14" s="1">
        <v>167.67500000000001</v>
      </c>
      <c r="F14" s="1">
        <v>0.2</v>
      </c>
      <c r="G14" s="1">
        <v>20</v>
      </c>
      <c r="H14" s="1">
        <v>66</v>
      </c>
      <c r="I14" s="1">
        <v>-10.43</v>
      </c>
      <c r="J14" s="1">
        <v>107.6</v>
      </c>
      <c r="K14" s="1">
        <v>1.9000000000000001E-5</v>
      </c>
      <c r="L14" s="1">
        <v>-22.7</v>
      </c>
      <c r="M14" s="1">
        <v>20</v>
      </c>
      <c r="N14" s="1">
        <v>0.30095391688700002</v>
      </c>
      <c r="O14" s="1">
        <v>-22.7</v>
      </c>
      <c r="P14" s="1">
        <v>3.4099999999999998E-3</v>
      </c>
      <c r="Q14" s="1" t="s">
        <v>62</v>
      </c>
      <c r="R14" s="1">
        <v>2474</v>
      </c>
      <c r="S14" s="1">
        <v>626.6</v>
      </c>
      <c r="T14" s="1">
        <v>3619</v>
      </c>
      <c r="U14" s="1">
        <v>6407</v>
      </c>
      <c r="V14" s="1">
        <v>6407</v>
      </c>
      <c r="W14" s="1">
        <v>0.19750000000000001</v>
      </c>
      <c r="X14" s="1">
        <v>5</v>
      </c>
      <c r="Y14" s="1">
        <v>23</v>
      </c>
      <c r="Z14" s="1">
        <v>1</v>
      </c>
      <c r="AA14" s="1">
        <v>2.4400000000000002E-2</v>
      </c>
      <c r="AB14" s="1" t="s">
        <v>63</v>
      </c>
      <c r="AC14" s="1" t="s">
        <v>113</v>
      </c>
      <c r="AD14" s="1">
        <v>40</v>
      </c>
      <c r="AE14" s="1">
        <v>8.6920000000000002</v>
      </c>
      <c r="AF14" s="1">
        <v>200</v>
      </c>
      <c r="AG14" s="1" t="s">
        <v>65</v>
      </c>
      <c r="AH14" s="1" t="s">
        <v>114</v>
      </c>
      <c r="AI14" s="1">
        <v>2.864E-6</v>
      </c>
      <c r="AJ14" s="1">
        <v>2</v>
      </c>
      <c r="AK14" s="1">
        <v>4.2399999999999999E-7</v>
      </c>
      <c r="AL14" s="1">
        <v>25.6557754257</v>
      </c>
      <c r="AM14" s="1">
        <v>400.42152403799997</v>
      </c>
      <c r="AN14" s="1">
        <v>0.63903849989999995</v>
      </c>
      <c r="AO14" s="1">
        <v>698324.02234599995</v>
      </c>
      <c r="AP14" s="1">
        <v>-1.61857869539E-3</v>
      </c>
      <c r="AQ14" s="1">
        <v>-2.2239150182600002E-3</v>
      </c>
      <c r="AR14" s="1">
        <v>0.25</v>
      </c>
      <c r="AS14" s="1">
        <v>3.5573430876300002E-3</v>
      </c>
      <c r="AT14" s="1">
        <v>0.29051752441200002</v>
      </c>
      <c r="AU14" s="1">
        <v>3.5304434487899998E-3</v>
      </c>
      <c r="AV14" s="1">
        <v>0.29273107537100002</v>
      </c>
      <c r="AW14" s="1">
        <v>4</v>
      </c>
      <c r="AX14" s="1">
        <v>3.5826176099999999E-3</v>
      </c>
      <c r="AY14" s="1">
        <v>0.28571932866100003</v>
      </c>
      <c r="AZ14" s="1">
        <v>3.4115671455899998</v>
      </c>
      <c r="BA14" s="1">
        <v>-1.4778359139399999</v>
      </c>
      <c r="BB14" s="1">
        <v>2.8090087483000001</v>
      </c>
      <c r="BC14" s="1">
        <v>-2.3952860835499998</v>
      </c>
      <c r="BD14" s="1">
        <v>0</v>
      </c>
      <c r="BE14" s="1">
        <v>0</v>
      </c>
      <c r="BF14" s="1">
        <v>0</v>
      </c>
      <c r="BG14" s="1">
        <v>0</v>
      </c>
    </row>
    <row r="15" spans="1:59" x14ac:dyDescent="0.3">
      <c r="A15" s="1" t="s">
        <v>59</v>
      </c>
      <c r="B15" s="1" t="s">
        <v>115</v>
      </c>
      <c r="C15" s="1" t="s">
        <v>116</v>
      </c>
      <c r="D15" s="2">
        <v>42331.760983796295</v>
      </c>
      <c r="E15" s="1">
        <v>288.375</v>
      </c>
      <c r="F15" s="1">
        <v>0.2</v>
      </c>
      <c r="G15" s="1">
        <v>20</v>
      </c>
      <c r="H15" s="1">
        <v>114</v>
      </c>
      <c r="I15" s="1">
        <v>-10.81</v>
      </c>
      <c r="J15" s="1">
        <v>107.6</v>
      </c>
      <c r="K15" s="1">
        <v>1.5999999999999999E-5</v>
      </c>
      <c r="L15" s="1">
        <v>-21</v>
      </c>
      <c r="M15" s="1">
        <v>20</v>
      </c>
      <c r="N15" s="1">
        <v>0.28807130497799999</v>
      </c>
      <c r="O15" s="1">
        <v>-21</v>
      </c>
      <c r="P15" s="1">
        <v>3.5569999999999998E-3</v>
      </c>
      <c r="Q15" s="1" t="s">
        <v>62</v>
      </c>
      <c r="R15" s="1">
        <v>2349</v>
      </c>
      <c r="S15" s="1">
        <v>615.83000000000004</v>
      </c>
      <c r="T15" s="1">
        <v>3762</v>
      </c>
      <c r="U15" s="1">
        <v>6164</v>
      </c>
      <c r="V15" s="1">
        <v>6164</v>
      </c>
      <c r="W15" s="1">
        <v>0.19750000000000001</v>
      </c>
      <c r="X15" s="1">
        <v>5</v>
      </c>
      <c r="Y15" s="1">
        <v>23</v>
      </c>
      <c r="Z15" s="1">
        <v>1</v>
      </c>
      <c r="AA15" s="1">
        <v>2.0500000000000001E-2</v>
      </c>
      <c r="AB15" s="1" t="s">
        <v>63</v>
      </c>
      <c r="AC15" s="1" t="s">
        <v>117</v>
      </c>
      <c r="AD15" s="1">
        <v>40</v>
      </c>
      <c r="AE15" s="1">
        <v>8.6920000000000002</v>
      </c>
      <c r="AF15" s="1">
        <v>200</v>
      </c>
      <c r="AG15" s="1" t="s">
        <v>65</v>
      </c>
      <c r="AH15" s="1" t="s">
        <v>118</v>
      </c>
      <c r="AI15" s="1">
        <v>2.869E-6</v>
      </c>
      <c r="AJ15" s="1">
        <v>2</v>
      </c>
      <c r="AK15" s="1">
        <v>4.2399999999999999E-7</v>
      </c>
      <c r="AL15" s="1">
        <v>25.6557754257</v>
      </c>
      <c r="AM15" s="1">
        <v>382.427576063</v>
      </c>
      <c r="AN15" s="1">
        <v>0.620995365706</v>
      </c>
      <c r="AO15" s="1">
        <v>697107.00592499995</v>
      </c>
      <c r="AP15" s="1">
        <v>-1.68948821277E-3</v>
      </c>
      <c r="AQ15" s="1">
        <v>-2.2948245356399998E-3</v>
      </c>
      <c r="AR15" s="1">
        <v>0.25</v>
      </c>
      <c r="AS15" s="1">
        <v>3.73122553386E-3</v>
      </c>
      <c r="AT15" s="1">
        <v>0.27697883655700001</v>
      </c>
      <c r="AU15" s="1">
        <v>3.69226557105E-3</v>
      </c>
      <c r="AV15" s="1">
        <v>0.27990145546599998</v>
      </c>
      <c r="AW15" s="1">
        <v>4</v>
      </c>
      <c r="AX15" s="1">
        <v>3.72357431E-3</v>
      </c>
      <c r="AY15" s="1">
        <v>0.27458092576499998</v>
      </c>
      <c r="AZ15" s="1">
        <v>3.6634843416699998</v>
      </c>
      <c r="BA15" s="1">
        <v>-0.84795468660999995</v>
      </c>
      <c r="BB15" s="1">
        <v>2.9188306642700002</v>
      </c>
      <c r="BC15" s="1">
        <v>-1.90085817574</v>
      </c>
      <c r="BD15" s="1">
        <v>0</v>
      </c>
      <c r="BE15" s="1">
        <v>0</v>
      </c>
      <c r="BF15" s="1">
        <v>0</v>
      </c>
      <c r="BG15" s="1">
        <v>0</v>
      </c>
    </row>
    <row r="16" spans="1:59" x14ac:dyDescent="0.3">
      <c r="A16" s="1" t="s">
        <v>59</v>
      </c>
      <c r="B16" s="1" t="s">
        <v>119</v>
      </c>
      <c r="C16" s="1" t="s">
        <v>120</v>
      </c>
      <c r="D16" s="2">
        <v>42331.774895833332</v>
      </c>
      <c r="E16" s="1">
        <v>292.97500000000002</v>
      </c>
      <c r="F16" s="1">
        <v>0.2</v>
      </c>
      <c r="G16" s="1">
        <v>20</v>
      </c>
      <c r="H16" s="1">
        <v>116</v>
      </c>
      <c r="I16" s="1">
        <v>-10.5</v>
      </c>
      <c r="J16" s="1">
        <v>-72.3</v>
      </c>
      <c r="K16" s="1">
        <v>1.4E-5</v>
      </c>
      <c r="L16" s="1">
        <v>-21</v>
      </c>
      <c r="M16" s="1">
        <v>20</v>
      </c>
      <c r="N16" s="1">
        <v>0.298538261892</v>
      </c>
      <c r="O16" s="1">
        <v>-21</v>
      </c>
      <c r="P16" s="1">
        <v>3.388E-3</v>
      </c>
      <c r="Q16" s="1" t="s">
        <v>62</v>
      </c>
      <c r="R16" s="1">
        <v>2350</v>
      </c>
      <c r="S16" s="1">
        <v>616.95000000000005</v>
      </c>
      <c r="T16" s="1">
        <v>3661</v>
      </c>
      <c r="U16" s="1">
        <v>6211</v>
      </c>
      <c r="V16" s="1">
        <v>6211</v>
      </c>
      <c r="W16" s="1">
        <v>0.19750000000000001</v>
      </c>
      <c r="X16" s="1">
        <v>5</v>
      </c>
      <c r="Y16" s="1">
        <v>23</v>
      </c>
      <c r="Z16" s="1">
        <v>1</v>
      </c>
      <c r="AA16" s="1">
        <v>2.4400000000000002E-2</v>
      </c>
      <c r="AB16" s="1" t="s">
        <v>63</v>
      </c>
      <c r="AC16" s="1" t="s">
        <v>121</v>
      </c>
      <c r="AD16" s="1">
        <v>40</v>
      </c>
      <c r="AE16" s="1">
        <v>8.6920000000000002</v>
      </c>
      <c r="AF16" s="1">
        <v>200</v>
      </c>
      <c r="AG16" s="1" t="s">
        <v>65</v>
      </c>
      <c r="AH16" s="1" t="s">
        <v>122</v>
      </c>
      <c r="AI16" s="1">
        <v>2.875E-6</v>
      </c>
      <c r="AJ16" s="1">
        <v>2</v>
      </c>
      <c r="AK16" s="1">
        <v>4.2399999999999999E-7</v>
      </c>
      <c r="AL16" s="1">
        <v>25.6557754257</v>
      </c>
      <c r="AM16" s="1">
        <v>388.15604234199998</v>
      </c>
      <c r="AN16" s="1">
        <v>0.62915316045400005</v>
      </c>
      <c r="AO16" s="1">
        <v>695652.17391300004</v>
      </c>
      <c r="AP16" s="1">
        <v>-1.6574280794199999E-3</v>
      </c>
      <c r="AQ16" s="1">
        <v>-2.2627644022899999E-3</v>
      </c>
      <c r="AR16" s="1">
        <v>0.25</v>
      </c>
      <c r="AS16" s="1">
        <v>3.6838475660799998E-3</v>
      </c>
      <c r="AT16" s="1">
        <v>0.28054106169300003</v>
      </c>
      <c r="AU16" s="1">
        <v>3.6501489754799999E-3</v>
      </c>
      <c r="AV16" s="1">
        <v>0.28313104869</v>
      </c>
      <c r="AW16" s="1">
        <v>4</v>
      </c>
      <c r="AX16" s="1">
        <v>3.5466600399999999E-3</v>
      </c>
      <c r="AY16" s="1">
        <v>0.28455771508700001</v>
      </c>
      <c r="AZ16" s="1">
        <v>7.1818705822900002</v>
      </c>
      <c r="BA16" s="1">
        <v>2.8351975816600001</v>
      </c>
      <c r="BB16" s="1">
        <v>5.4417250503499996</v>
      </c>
      <c r="BC16" s="1">
        <v>0.50388906623800001</v>
      </c>
      <c r="BD16" s="1">
        <v>0</v>
      </c>
      <c r="BE16" s="1">
        <v>0</v>
      </c>
      <c r="BF16" s="1">
        <v>0</v>
      </c>
      <c r="BG16" s="1">
        <v>0</v>
      </c>
    </row>
    <row r="17" spans="1:59" x14ac:dyDescent="0.3">
      <c r="A17" s="1" t="s">
        <v>59</v>
      </c>
      <c r="B17" s="1" t="s">
        <v>123</v>
      </c>
      <c r="C17" s="1" t="s">
        <v>124</v>
      </c>
      <c r="D17" s="2">
        <v>42331.786412037036</v>
      </c>
      <c r="E17" s="1">
        <v>292.375</v>
      </c>
      <c r="F17" s="1">
        <v>0.2</v>
      </c>
      <c r="G17" s="1">
        <v>20</v>
      </c>
      <c r="H17" s="1">
        <v>115</v>
      </c>
      <c r="I17" s="1">
        <v>-10.37</v>
      </c>
      <c r="J17" s="1">
        <v>-71.900000000000006</v>
      </c>
      <c r="K17" s="1">
        <v>1.0000000000000001E-5</v>
      </c>
      <c r="L17" s="1">
        <v>-21</v>
      </c>
      <c r="M17" s="1">
        <v>20</v>
      </c>
      <c r="N17" s="1">
        <v>0.30304002977900002</v>
      </c>
      <c r="O17" s="1">
        <v>-21</v>
      </c>
      <c r="P17" s="1">
        <v>3.3969999999999998E-3</v>
      </c>
      <c r="Q17" s="1" t="s">
        <v>62</v>
      </c>
      <c r="R17" s="1">
        <v>2911</v>
      </c>
      <c r="S17" s="1">
        <v>618.86</v>
      </c>
      <c r="T17" s="1">
        <v>3577</v>
      </c>
      <c r="U17" s="1">
        <v>6252</v>
      </c>
      <c r="V17" s="1">
        <v>6252</v>
      </c>
      <c r="W17" s="1">
        <v>0.19750000000000001</v>
      </c>
      <c r="X17" s="1">
        <v>5</v>
      </c>
      <c r="Y17" s="1">
        <v>23</v>
      </c>
      <c r="Z17" s="1">
        <v>1</v>
      </c>
      <c r="AA17" s="1">
        <v>2.4799999999999999E-2</v>
      </c>
      <c r="AB17" s="1" t="s">
        <v>63</v>
      </c>
      <c r="AC17" s="1" t="s">
        <v>125</v>
      </c>
      <c r="AD17" s="1">
        <v>40</v>
      </c>
      <c r="AE17" s="1">
        <v>8.6920000000000002</v>
      </c>
      <c r="AF17" s="1">
        <v>200</v>
      </c>
      <c r="AG17" s="1" t="s">
        <v>65</v>
      </c>
      <c r="AH17" s="1" t="s">
        <v>126</v>
      </c>
      <c r="AI17" s="1">
        <v>2.8660000000000002E-6</v>
      </c>
      <c r="AJ17" s="1">
        <v>2</v>
      </c>
      <c r="AK17" s="1">
        <v>4.2399999999999999E-7</v>
      </c>
      <c r="AL17" s="1">
        <v>25.6557754257</v>
      </c>
      <c r="AM17" s="1">
        <v>393.64255977200003</v>
      </c>
      <c r="AN17" s="1">
        <v>0.63607691525099996</v>
      </c>
      <c r="AO17" s="1">
        <v>697836.70621099998</v>
      </c>
      <c r="AP17" s="1">
        <v>-1.6302177230600001E-3</v>
      </c>
      <c r="AQ17" s="1">
        <v>-2.2355540459300001E-3</v>
      </c>
      <c r="AR17" s="1">
        <v>0.25</v>
      </c>
      <c r="AS17" s="1">
        <v>3.6211314647800002E-3</v>
      </c>
      <c r="AT17" s="1">
        <v>0.285399886017</v>
      </c>
      <c r="AU17" s="1">
        <v>3.5920201593800001E-3</v>
      </c>
      <c r="AV17" s="1">
        <v>0.28771289175600001</v>
      </c>
      <c r="AW17" s="1">
        <v>4</v>
      </c>
      <c r="AX17" s="1">
        <v>3.5560815100000001E-3</v>
      </c>
      <c r="AY17" s="1">
        <v>0.28884866518399999</v>
      </c>
      <c r="AZ17" s="1">
        <v>5.4292612716799997</v>
      </c>
      <c r="BA17" s="1">
        <v>1.00051357703</v>
      </c>
      <c r="BB17" s="1">
        <v>5.3272336631700004</v>
      </c>
      <c r="BC17" s="1">
        <v>0.39475931072800002</v>
      </c>
      <c r="BD17" s="1">
        <v>0</v>
      </c>
      <c r="BE17" s="1">
        <v>0</v>
      </c>
      <c r="BF17" s="1">
        <v>0</v>
      </c>
      <c r="BG17" s="1">
        <v>0</v>
      </c>
    </row>
    <row r="18" spans="1:59" x14ac:dyDescent="0.3">
      <c r="A18" s="1" t="s">
        <v>59</v>
      </c>
      <c r="B18" s="1" t="s">
        <v>127</v>
      </c>
      <c r="C18" s="1" t="s">
        <v>128</v>
      </c>
      <c r="D18" s="2">
        <v>42331.793773148151</v>
      </c>
      <c r="E18" s="1">
        <v>292.375</v>
      </c>
      <c r="F18" s="1">
        <v>0.2</v>
      </c>
      <c r="G18" s="1">
        <v>20</v>
      </c>
      <c r="H18" s="1">
        <v>115</v>
      </c>
      <c r="I18" s="1">
        <v>-11.29</v>
      </c>
      <c r="J18" s="1">
        <v>-72.599999999999994</v>
      </c>
      <c r="K18" s="1">
        <v>1.2999999999999999E-5</v>
      </c>
      <c r="L18" s="1">
        <v>-19.8</v>
      </c>
      <c r="M18" s="1">
        <v>20</v>
      </c>
      <c r="N18" s="1">
        <v>0.27258377389299998</v>
      </c>
      <c r="O18" s="1">
        <v>-19.8</v>
      </c>
      <c r="P18" s="1">
        <v>3.7880000000000001E-3</v>
      </c>
      <c r="Q18" s="1" t="s">
        <v>62</v>
      </c>
      <c r="R18" s="1">
        <v>1466</v>
      </c>
      <c r="S18" s="1">
        <v>600.25</v>
      </c>
      <c r="T18" s="1">
        <v>3720</v>
      </c>
      <c r="U18" s="1">
        <v>5860</v>
      </c>
      <c r="V18" s="1">
        <v>5860</v>
      </c>
      <c r="W18" s="1">
        <v>0.19750000000000001</v>
      </c>
      <c r="X18" s="1">
        <v>5</v>
      </c>
      <c r="Y18" s="1">
        <v>23</v>
      </c>
      <c r="Z18" s="1">
        <v>1</v>
      </c>
      <c r="AA18" s="1">
        <v>2.1100000000000001E-2</v>
      </c>
      <c r="AB18" s="1" t="s">
        <v>63</v>
      </c>
      <c r="AC18" s="1" t="s">
        <v>129</v>
      </c>
      <c r="AD18" s="1">
        <v>40</v>
      </c>
      <c r="AE18" s="1">
        <v>8.6920000000000002</v>
      </c>
      <c r="AF18" s="1">
        <v>200</v>
      </c>
      <c r="AG18" s="1" t="s">
        <v>65</v>
      </c>
      <c r="AH18" s="1" t="s">
        <v>130</v>
      </c>
      <c r="AI18" s="1">
        <v>2.8650000000000001E-6</v>
      </c>
      <c r="AJ18" s="1">
        <v>2</v>
      </c>
      <c r="AK18" s="1">
        <v>4.2399999999999999E-7</v>
      </c>
      <c r="AL18" s="1">
        <v>25.6557754257</v>
      </c>
      <c r="AM18" s="1">
        <v>367.16753653400002</v>
      </c>
      <c r="AN18" s="1">
        <v>0.611691022965</v>
      </c>
      <c r="AO18" s="1">
        <v>698080.279232</v>
      </c>
      <c r="AP18" s="1">
        <v>-1.7260542797499999E-3</v>
      </c>
      <c r="AQ18" s="1">
        <v>-2.3313906026199999E-3</v>
      </c>
      <c r="AR18" s="1">
        <v>0.25</v>
      </c>
      <c r="AS18" s="1">
        <v>3.8808825892400001E-3</v>
      </c>
      <c r="AT18" s="1">
        <v>0.26629780302200001</v>
      </c>
      <c r="AU18" s="1">
        <v>3.83471709759E-3</v>
      </c>
      <c r="AV18" s="1">
        <v>0.26950371592</v>
      </c>
      <c r="AW18" s="1">
        <v>4</v>
      </c>
      <c r="AX18" s="1">
        <v>3.9552553519999999E-3</v>
      </c>
      <c r="AY18" s="1">
        <v>0.26054810993999999</v>
      </c>
      <c r="AZ18" s="1">
        <v>1.21826712127</v>
      </c>
      <c r="BA18" s="1">
        <v>-3.1433415122600001</v>
      </c>
      <c r="BB18" s="1">
        <v>1.14286289623</v>
      </c>
      <c r="BC18" s="1">
        <v>-3.32299907209</v>
      </c>
      <c r="BD18" s="1">
        <v>0</v>
      </c>
      <c r="BE18" s="1">
        <v>0</v>
      </c>
      <c r="BF18" s="1">
        <v>0</v>
      </c>
      <c r="BG18" s="1">
        <v>0</v>
      </c>
    </row>
    <row r="19" spans="1:59" x14ac:dyDescent="0.3">
      <c r="A19" s="1" t="s">
        <v>59</v>
      </c>
      <c r="B19" s="1" t="s">
        <v>131</v>
      </c>
      <c r="C19" s="1" t="s">
        <v>132</v>
      </c>
      <c r="D19" s="2">
        <v>42331.801168981481</v>
      </c>
      <c r="E19" s="1">
        <v>292.97500000000002</v>
      </c>
      <c r="F19" s="1">
        <v>0.2</v>
      </c>
      <c r="G19" s="1">
        <v>20</v>
      </c>
      <c r="H19" s="1">
        <v>116</v>
      </c>
      <c r="I19" s="1">
        <v>-10.7</v>
      </c>
      <c r="J19" s="1">
        <v>-72.099999999999994</v>
      </c>
      <c r="K19" s="1">
        <v>1.5999999999999999E-5</v>
      </c>
      <c r="L19" s="1">
        <v>-19.8</v>
      </c>
      <c r="M19" s="1">
        <v>20</v>
      </c>
      <c r="N19" s="1">
        <v>0.29174270140000003</v>
      </c>
      <c r="O19" s="1">
        <v>-19.8</v>
      </c>
      <c r="P19" s="1">
        <v>3.5149999999999999E-3</v>
      </c>
      <c r="Q19" s="1" t="s">
        <v>62</v>
      </c>
      <c r="R19" s="1">
        <v>954</v>
      </c>
      <c r="S19" s="1">
        <v>609.74</v>
      </c>
      <c r="T19" s="1">
        <v>3688</v>
      </c>
      <c r="U19" s="1">
        <v>6046</v>
      </c>
      <c r="V19" s="1">
        <v>6046</v>
      </c>
      <c r="W19" s="1">
        <v>0.19750000000000001</v>
      </c>
      <c r="X19" s="1">
        <v>5</v>
      </c>
      <c r="Y19" s="1">
        <v>23</v>
      </c>
      <c r="Z19" s="1">
        <v>1</v>
      </c>
      <c r="AA19" s="1">
        <v>2.1000000000000001E-2</v>
      </c>
      <c r="AB19" s="1" t="s">
        <v>63</v>
      </c>
      <c r="AC19" s="1" t="s">
        <v>133</v>
      </c>
      <c r="AD19" s="1">
        <v>40</v>
      </c>
      <c r="AE19" s="1">
        <v>8.6920000000000002</v>
      </c>
      <c r="AF19" s="1">
        <v>200</v>
      </c>
      <c r="AG19" s="1" t="s">
        <v>65</v>
      </c>
      <c r="AH19" s="1" t="s">
        <v>134</v>
      </c>
      <c r="AI19" s="1">
        <v>2.8660000000000002E-6</v>
      </c>
      <c r="AJ19" s="1">
        <v>2</v>
      </c>
      <c r="AK19" s="1">
        <v>4.2399999999999999E-7</v>
      </c>
      <c r="AL19" s="1">
        <v>25.6557754257</v>
      </c>
      <c r="AM19" s="1">
        <v>378.72283131299997</v>
      </c>
      <c r="AN19" s="1">
        <v>0.62112184097000001</v>
      </c>
      <c r="AO19" s="1">
        <v>697836.70621099998</v>
      </c>
      <c r="AP19" s="1">
        <v>-1.6889911649900001E-3</v>
      </c>
      <c r="AQ19" s="1">
        <v>-2.2943274878599999E-3</v>
      </c>
      <c r="AR19" s="1">
        <v>0.25</v>
      </c>
      <c r="AS19" s="1">
        <v>3.76378538924E-3</v>
      </c>
      <c r="AT19" s="1">
        <v>0.27458274062499999</v>
      </c>
      <c r="AU19" s="1">
        <v>3.7245646297000001E-3</v>
      </c>
      <c r="AV19" s="1">
        <v>0.27747417753499998</v>
      </c>
      <c r="AW19" s="1">
        <v>4</v>
      </c>
      <c r="AX19" s="1">
        <v>3.6702013100000002E-3</v>
      </c>
      <c r="AY19" s="1">
        <v>0.278861094162</v>
      </c>
      <c r="AZ19" s="1">
        <v>5.6265537193900004</v>
      </c>
      <c r="BA19" s="1">
        <v>1.4595885723199999</v>
      </c>
      <c r="BB19" s="1">
        <v>5.1422889121199997</v>
      </c>
      <c r="BC19" s="1">
        <v>0.49983628749199999</v>
      </c>
      <c r="BD19" s="1">
        <v>0</v>
      </c>
      <c r="BE19" s="1">
        <v>0</v>
      </c>
      <c r="BF19" s="1">
        <v>0</v>
      </c>
      <c r="BG19" s="1">
        <v>0</v>
      </c>
    </row>
    <row r="20" spans="1:59" x14ac:dyDescent="0.3">
      <c r="A20" s="1" t="s">
        <v>135</v>
      </c>
      <c r="B20" s="1" t="s">
        <v>60</v>
      </c>
      <c r="C20" s="1" t="s">
        <v>61</v>
      </c>
      <c r="D20" s="2">
        <v>42688.870671296296</v>
      </c>
      <c r="E20" s="1">
        <v>286.97500000000002</v>
      </c>
      <c r="F20" s="1">
        <v>0.2</v>
      </c>
      <c r="G20" s="1">
        <v>20</v>
      </c>
      <c r="H20" s="1">
        <v>113</v>
      </c>
      <c r="I20" s="1">
        <v>-11.1</v>
      </c>
      <c r="J20" s="1">
        <v>-73.7</v>
      </c>
      <c r="K20" s="1">
        <v>1.5E-5</v>
      </c>
      <c r="L20" s="1">
        <v>-4</v>
      </c>
      <c r="M20" s="1">
        <v>20</v>
      </c>
      <c r="N20" s="1">
        <v>0.27861211686300003</v>
      </c>
      <c r="O20" s="1">
        <v>-4</v>
      </c>
      <c r="P20" s="1">
        <v>3.7163000000000001E-3</v>
      </c>
      <c r="Q20" s="1" t="s">
        <v>62</v>
      </c>
      <c r="R20" s="1">
        <v>2340</v>
      </c>
      <c r="S20" s="1">
        <v>618.29999999999995</v>
      </c>
      <c r="T20" s="1">
        <v>3754</v>
      </c>
      <c r="U20" s="1">
        <v>6132</v>
      </c>
      <c r="V20" s="1">
        <v>6132</v>
      </c>
      <c r="W20" s="1">
        <v>0.19750000000000001</v>
      </c>
      <c r="X20" s="1">
        <v>5</v>
      </c>
      <c r="Y20" s="1">
        <v>23</v>
      </c>
      <c r="Z20" s="1">
        <v>1</v>
      </c>
      <c r="AA20" s="1">
        <v>7.4999999999999997E-3</v>
      </c>
      <c r="AB20" s="1" t="s">
        <v>63</v>
      </c>
      <c r="AC20" s="1" t="s">
        <v>64</v>
      </c>
      <c r="AD20" s="1">
        <v>40</v>
      </c>
      <c r="AE20" s="1">
        <v>8.6920000000000002</v>
      </c>
      <c r="AF20" s="1">
        <v>200</v>
      </c>
      <c r="AG20" s="1" t="s">
        <v>65</v>
      </c>
      <c r="AH20" s="1" t="s">
        <v>66</v>
      </c>
      <c r="AI20" s="1">
        <v>2.8679999999999999E-6</v>
      </c>
      <c r="AJ20" s="1">
        <v>2</v>
      </c>
      <c r="AK20" s="1">
        <v>4.2399999999999999E-7</v>
      </c>
      <c r="AL20" s="1">
        <v>25.6557754257</v>
      </c>
      <c r="AM20" s="1">
        <v>383.51361521299998</v>
      </c>
      <c r="AN20" s="1">
        <v>0.62027109043100004</v>
      </c>
      <c r="AO20" s="1">
        <v>697350.06973500003</v>
      </c>
      <c r="AP20" s="1">
        <v>-1.69233461461E-3</v>
      </c>
      <c r="AQ20" s="1">
        <v>-2.2976709374799998E-3</v>
      </c>
      <c r="AR20" s="1">
        <v>0.25</v>
      </c>
      <c r="AS20" s="1">
        <v>3.7193625490100002E-3</v>
      </c>
      <c r="AT20" s="1">
        <v>0.277862266365</v>
      </c>
      <c r="AU20" s="1">
        <v>3.6801049763000001E-3</v>
      </c>
      <c r="AV20" s="1">
        <v>0.28082636608400002</v>
      </c>
      <c r="AW20" s="1">
        <v>4</v>
      </c>
      <c r="AX20" s="1">
        <v>3.7494493959999999E-3</v>
      </c>
      <c r="AY20" s="1">
        <v>0.276126896781</v>
      </c>
      <c r="AZ20" s="1">
        <v>-0.98353237035300001</v>
      </c>
      <c r="BA20" s="1">
        <v>-1.8843054791</v>
      </c>
      <c r="BB20" s="1">
        <v>-0.78847625751499995</v>
      </c>
      <c r="BC20" s="1">
        <v>-1.6734430493000001</v>
      </c>
      <c r="BD20" s="1">
        <v>-4.0026032123800004</v>
      </c>
      <c r="BE20" s="1">
        <v>-0.92405483590899995</v>
      </c>
      <c r="BF20" s="1">
        <v>-3.4865079038700002</v>
      </c>
      <c r="BG20" s="1">
        <v>-0.15756906113999999</v>
      </c>
    </row>
    <row r="21" spans="1:59" x14ac:dyDescent="0.3">
      <c r="A21" s="1" t="s">
        <v>135</v>
      </c>
      <c r="B21" s="1" t="s">
        <v>67</v>
      </c>
      <c r="C21" s="1" t="s">
        <v>68</v>
      </c>
      <c r="D21" s="2">
        <v>42688.818553240744</v>
      </c>
      <c r="E21" s="1">
        <v>292.97500000000002</v>
      </c>
      <c r="F21" s="1">
        <v>0.2</v>
      </c>
      <c r="G21" s="1">
        <v>20</v>
      </c>
      <c r="H21" s="1">
        <v>116</v>
      </c>
      <c r="I21" s="1">
        <v>-11.06</v>
      </c>
      <c r="J21" s="1">
        <v>107.3</v>
      </c>
      <c r="K21" s="1">
        <v>1.5999999999999999E-5</v>
      </c>
      <c r="L21" s="1">
        <v>-4.4000000000000004</v>
      </c>
      <c r="M21" s="1">
        <v>20</v>
      </c>
      <c r="N21" s="1">
        <v>0.27989813196300001</v>
      </c>
      <c r="O21" s="1">
        <v>-4.4000000000000004</v>
      </c>
      <c r="P21" s="1">
        <v>3.6736999999999998E-3</v>
      </c>
      <c r="Q21" s="1" t="s">
        <v>62</v>
      </c>
      <c r="R21" s="1">
        <v>2338</v>
      </c>
      <c r="S21" s="1">
        <v>605.91999999999996</v>
      </c>
      <c r="T21" s="1">
        <v>3729</v>
      </c>
      <c r="U21" s="1">
        <v>5971</v>
      </c>
      <c r="V21" s="1">
        <v>5971</v>
      </c>
      <c r="W21" s="1">
        <v>0.19750000000000001</v>
      </c>
      <c r="X21" s="1">
        <v>5</v>
      </c>
      <c r="Y21" s="1">
        <v>23</v>
      </c>
      <c r="Z21" s="1">
        <v>1</v>
      </c>
      <c r="AA21" s="1">
        <v>2.12E-2</v>
      </c>
      <c r="AB21" s="1" t="s">
        <v>63</v>
      </c>
      <c r="AC21" s="1" t="s">
        <v>69</v>
      </c>
      <c r="AD21" s="1">
        <v>40</v>
      </c>
      <c r="AE21" s="1">
        <v>8.6920000000000002</v>
      </c>
      <c r="AF21" s="1">
        <v>200</v>
      </c>
      <c r="AG21" s="1" t="s">
        <v>65</v>
      </c>
      <c r="AH21" s="1" t="s">
        <v>70</v>
      </c>
      <c r="AI21" s="1">
        <v>2.8700000000000001E-6</v>
      </c>
      <c r="AJ21" s="1">
        <v>2</v>
      </c>
      <c r="AK21" s="1">
        <v>4.2399999999999999E-7</v>
      </c>
      <c r="AL21" s="1">
        <v>25.6557754257</v>
      </c>
      <c r="AM21" s="1">
        <v>372.98436288699997</v>
      </c>
      <c r="AN21" s="1">
        <v>0.61556701030899996</v>
      </c>
      <c r="AO21" s="1">
        <v>696864.11149799998</v>
      </c>
      <c r="AP21" s="1">
        <v>-1.7108216494799999E-3</v>
      </c>
      <c r="AQ21" s="1">
        <v>-2.3161579723500001E-3</v>
      </c>
      <c r="AR21" s="1">
        <v>0.25</v>
      </c>
      <c r="AS21" s="1">
        <v>3.82702611125E-3</v>
      </c>
      <c r="AT21" s="1">
        <v>0.27004532429599998</v>
      </c>
      <c r="AU21" s="1">
        <v>3.78380856865E-3</v>
      </c>
      <c r="AV21" s="1">
        <v>0.27312970213799997</v>
      </c>
      <c r="AW21" s="1">
        <v>4</v>
      </c>
      <c r="AX21" s="1">
        <v>3.7097463444000001E-3</v>
      </c>
      <c r="AY21" s="1">
        <v>0.27715177149300002</v>
      </c>
      <c r="AZ21" s="1">
        <v>2.9099931102099998</v>
      </c>
      <c r="BA21" s="1">
        <v>1.9573459626</v>
      </c>
      <c r="BB21" s="1">
        <v>2.4781009801099998</v>
      </c>
      <c r="BC21" s="1">
        <v>1.4725858533</v>
      </c>
      <c r="BD21" s="1">
        <v>-2.87276689684</v>
      </c>
      <c r="BE21" s="1">
        <v>0.33465397020600002</v>
      </c>
      <c r="BF21" s="1">
        <v>-2.7498391201299999</v>
      </c>
      <c r="BG21" s="1">
        <v>0.89088022024400004</v>
      </c>
    </row>
    <row r="22" spans="1:59" x14ac:dyDescent="0.3">
      <c r="A22" s="1" t="s">
        <v>135</v>
      </c>
      <c r="B22" s="1" t="s">
        <v>71</v>
      </c>
      <c r="C22" s="1" t="s">
        <v>72</v>
      </c>
      <c r="D22" s="2">
        <v>42688.823958333334</v>
      </c>
      <c r="E22" s="1">
        <v>293.375</v>
      </c>
      <c r="F22" s="1">
        <v>0.2</v>
      </c>
      <c r="G22" s="1">
        <v>20</v>
      </c>
      <c r="H22" s="1">
        <v>116</v>
      </c>
      <c r="I22" s="1">
        <v>-10.95</v>
      </c>
      <c r="J22" s="1">
        <v>107.4</v>
      </c>
      <c r="K22" s="1">
        <v>1.9000000000000001E-5</v>
      </c>
      <c r="L22" s="1">
        <v>-4.4000000000000004</v>
      </c>
      <c r="M22" s="1">
        <v>20</v>
      </c>
      <c r="N22" s="1">
        <v>0.28346536334900002</v>
      </c>
      <c r="O22" s="1">
        <v>-4.4000000000000004</v>
      </c>
      <c r="P22" s="1">
        <v>3.6527999999999999E-3</v>
      </c>
      <c r="Q22" s="1" t="s">
        <v>62</v>
      </c>
      <c r="R22" s="1">
        <v>2342</v>
      </c>
      <c r="S22" s="1">
        <v>613.32000000000005</v>
      </c>
      <c r="T22" s="1">
        <v>3831</v>
      </c>
      <c r="U22" s="1">
        <v>6158</v>
      </c>
      <c r="V22" s="1">
        <v>6158</v>
      </c>
      <c r="W22" s="1">
        <v>0.19750000000000001</v>
      </c>
      <c r="X22" s="1">
        <v>5</v>
      </c>
      <c r="Y22" s="1">
        <v>23</v>
      </c>
      <c r="Z22" s="1">
        <v>1</v>
      </c>
      <c r="AA22" s="1">
        <v>2.75E-2</v>
      </c>
      <c r="AB22" s="1" t="s">
        <v>63</v>
      </c>
      <c r="AC22" s="1" t="s">
        <v>73</v>
      </c>
      <c r="AD22" s="1">
        <v>40</v>
      </c>
      <c r="AE22" s="1">
        <v>8.6920000000000002</v>
      </c>
      <c r="AF22" s="1">
        <v>200</v>
      </c>
      <c r="AG22" s="1" t="s">
        <v>65</v>
      </c>
      <c r="AH22" s="1" t="s">
        <v>74</v>
      </c>
      <c r="AI22" s="1">
        <v>2.8700000000000001E-6</v>
      </c>
      <c r="AJ22" s="1">
        <v>2</v>
      </c>
      <c r="AK22" s="1">
        <v>4.2399999999999999E-7</v>
      </c>
      <c r="AL22" s="1">
        <v>25.6557754257</v>
      </c>
      <c r="AM22" s="1">
        <v>378.09836420099998</v>
      </c>
      <c r="AN22" s="1">
        <v>0.61647812593899998</v>
      </c>
      <c r="AO22" s="1">
        <v>696864.11149799998</v>
      </c>
      <c r="AP22" s="1">
        <v>-1.7072409650600001E-3</v>
      </c>
      <c r="AQ22" s="1">
        <v>-2.3125772879299998E-3</v>
      </c>
      <c r="AR22" s="1">
        <v>0.25</v>
      </c>
      <c r="AS22" s="1">
        <v>3.77526334681E-3</v>
      </c>
      <c r="AT22" s="1">
        <v>0.27374792494299999</v>
      </c>
      <c r="AU22" s="1">
        <v>3.7331683091899998E-3</v>
      </c>
      <c r="AV22" s="1">
        <v>0.276834694208</v>
      </c>
      <c r="AW22" s="1">
        <v>4</v>
      </c>
      <c r="AX22" s="1">
        <v>3.6886412736000002E-3</v>
      </c>
      <c r="AY22" s="1">
        <v>0.280684001204</v>
      </c>
      <c r="AZ22" s="1">
        <v>2.1528177284000001</v>
      </c>
      <c r="BA22" s="1">
        <v>1.19274117595</v>
      </c>
      <c r="BB22" s="1">
        <v>2.3951727437599999</v>
      </c>
      <c r="BC22" s="1">
        <v>1.3904713088</v>
      </c>
      <c r="BD22" s="1">
        <v>-3.5305132017599998</v>
      </c>
      <c r="BE22" s="1">
        <v>-0.32613154810099998</v>
      </c>
      <c r="BF22" s="1">
        <v>-2.9899930262800001</v>
      </c>
      <c r="BG22" s="1">
        <v>0.65848214816600004</v>
      </c>
    </row>
    <row r="23" spans="1:59" x14ac:dyDescent="0.3">
      <c r="A23" s="1" t="s">
        <v>135</v>
      </c>
      <c r="B23" s="1" t="s">
        <v>75</v>
      </c>
      <c r="C23" s="1" t="s">
        <v>76</v>
      </c>
      <c r="D23" s="2">
        <v>42688.833391203705</v>
      </c>
      <c r="E23" s="1">
        <v>159.97499999999999</v>
      </c>
      <c r="F23" s="1">
        <v>0.2</v>
      </c>
      <c r="G23" s="1">
        <v>20</v>
      </c>
      <c r="H23" s="1">
        <v>63</v>
      </c>
      <c r="I23" s="1">
        <v>-11.07</v>
      </c>
      <c r="J23" s="1">
        <v>107.4</v>
      </c>
      <c r="K23" s="1">
        <v>2.6000000000000001E-6</v>
      </c>
      <c r="L23" s="1">
        <v>-4</v>
      </c>
      <c r="M23" s="1">
        <v>20</v>
      </c>
      <c r="N23" s="1">
        <v>0.279576072758</v>
      </c>
      <c r="O23" s="1">
        <v>-4</v>
      </c>
      <c r="P23" s="1">
        <v>3.6803000000000001E-3</v>
      </c>
      <c r="Q23" s="1" t="s">
        <v>62</v>
      </c>
      <c r="R23" s="1">
        <v>2343</v>
      </c>
      <c r="S23" s="1">
        <v>607.6</v>
      </c>
      <c r="T23" s="1">
        <v>3764</v>
      </c>
      <c r="U23" s="1">
        <v>5910</v>
      </c>
      <c r="V23" s="1">
        <v>5910</v>
      </c>
      <c r="W23" s="1">
        <v>0.19750000000000001</v>
      </c>
      <c r="X23" s="1">
        <v>5</v>
      </c>
      <c r="Y23" s="1">
        <v>23</v>
      </c>
      <c r="Z23" s="1">
        <v>1</v>
      </c>
      <c r="AA23" s="1">
        <v>5.4999999999999997E-3</v>
      </c>
      <c r="AB23" s="1" t="s">
        <v>63</v>
      </c>
      <c r="AC23" s="1" t="s">
        <v>77</v>
      </c>
      <c r="AD23" s="1">
        <v>40</v>
      </c>
      <c r="AE23" s="1">
        <v>8.6920000000000002</v>
      </c>
      <c r="AF23" s="1">
        <v>200</v>
      </c>
      <c r="AG23" s="1" t="s">
        <v>65</v>
      </c>
      <c r="AH23" s="1" t="s">
        <v>78</v>
      </c>
      <c r="AI23" s="1">
        <v>2.8700000000000001E-6</v>
      </c>
      <c r="AJ23" s="1">
        <v>2</v>
      </c>
      <c r="AK23" s="1">
        <v>4.2399999999999999E-7</v>
      </c>
      <c r="AL23" s="1">
        <v>25.6557754257</v>
      </c>
      <c r="AM23" s="1">
        <v>371.19247467399998</v>
      </c>
      <c r="AN23" s="1">
        <v>0.61091585693600003</v>
      </c>
      <c r="AO23" s="1">
        <v>696864.11149799998</v>
      </c>
      <c r="AP23" s="1">
        <v>-1.7291006822400001E-3</v>
      </c>
      <c r="AQ23" s="1">
        <v>-2.3344370051100001E-3</v>
      </c>
      <c r="AR23" s="1">
        <v>0.25</v>
      </c>
      <c r="AS23" s="1">
        <v>3.8455006317299999E-3</v>
      </c>
      <c r="AT23" s="1">
        <v>0.26874797491199998</v>
      </c>
      <c r="AU23" s="1">
        <v>3.7992894359599998E-3</v>
      </c>
      <c r="AV23" s="1">
        <v>0.27201678754000003</v>
      </c>
      <c r="AW23" s="1">
        <v>4</v>
      </c>
      <c r="AX23" s="1">
        <v>3.7131282760000002E-3</v>
      </c>
      <c r="AY23" s="1">
        <v>0.27708225418900001</v>
      </c>
      <c r="AZ23" s="1">
        <v>3.1318865793800001</v>
      </c>
      <c r="BA23" s="1">
        <v>2.2678230076700001</v>
      </c>
      <c r="BB23" s="1">
        <v>2.7789774619599998</v>
      </c>
      <c r="BC23" s="1">
        <v>1.862188983</v>
      </c>
      <c r="BD23" s="1">
        <v>-0.797517549288</v>
      </c>
      <c r="BE23" s="1">
        <v>2.5803199691000001</v>
      </c>
      <c r="BF23" s="1">
        <v>-1.54984187712</v>
      </c>
      <c r="BG23" s="1">
        <v>2.13990433302</v>
      </c>
    </row>
    <row r="24" spans="1:59" x14ac:dyDescent="0.3">
      <c r="A24" s="1" t="s">
        <v>135</v>
      </c>
      <c r="B24" s="1" t="s">
        <v>79</v>
      </c>
      <c r="C24" s="1" t="s">
        <v>80</v>
      </c>
      <c r="D24" s="2">
        <v>42688.837893518517</v>
      </c>
      <c r="E24" s="1">
        <v>288.47500000000002</v>
      </c>
      <c r="F24" s="1">
        <v>0.2</v>
      </c>
      <c r="G24" s="1">
        <v>20</v>
      </c>
      <c r="H24" s="1">
        <v>114</v>
      </c>
      <c r="I24" s="1">
        <v>-10.78</v>
      </c>
      <c r="J24" s="1">
        <v>107.5</v>
      </c>
      <c r="K24" s="1">
        <v>1.2E-5</v>
      </c>
      <c r="L24" s="1">
        <v>-4</v>
      </c>
      <c r="M24" s="1">
        <v>20</v>
      </c>
      <c r="N24" s="1">
        <v>0.28906798823699997</v>
      </c>
      <c r="O24" s="1">
        <v>-4</v>
      </c>
      <c r="P24" s="1">
        <v>3.5802E-3</v>
      </c>
      <c r="Q24" s="1" t="s">
        <v>62</v>
      </c>
      <c r="R24" s="1">
        <v>831</v>
      </c>
      <c r="S24" s="1">
        <v>619.12</v>
      </c>
      <c r="T24" s="1">
        <v>3646</v>
      </c>
      <c r="U24" s="1">
        <v>6239</v>
      </c>
      <c r="V24" s="1">
        <v>6239</v>
      </c>
      <c r="W24" s="1">
        <v>0.19750000000000001</v>
      </c>
      <c r="X24" s="1">
        <v>5</v>
      </c>
      <c r="Y24" s="1">
        <v>23</v>
      </c>
      <c r="Z24" s="1">
        <v>1</v>
      </c>
      <c r="AA24" s="1">
        <v>1.95E-2</v>
      </c>
      <c r="AB24" s="1" t="s">
        <v>63</v>
      </c>
      <c r="AC24" s="1" t="s">
        <v>81</v>
      </c>
      <c r="AD24" s="1">
        <v>40</v>
      </c>
      <c r="AE24" s="1">
        <v>8.6920000000000002</v>
      </c>
      <c r="AF24" s="1">
        <v>200</v>
      </c>
      <c r="AG24" s="1" t="s">
        <v>65</v>
      </c>
      <c r="AH24" s="1" t="s">
        <v>82</v>
      </c>
      <c r="AI24" s="1">
        <v>2.869E-6</v>
      </c>
      <c r="AJ24" s="1">
        <v>2</v>
      </c>
      <c r="AK24" s="1">
        <v>4.2399999999999999E-7</v>
      </c>
      <c r="AL24" s="1">
        <v>25.6557754257</v>
      </c>
      <c r="AM24" s="1">
        <v>390.76273950400002</v>
      </c>
      <c r="AN24" s="1">
        <v>0.63115832068800004</v>
      </c>
      <c r="AO24" s="1">
        <v>697107.00592499995</v>
      </c>
      <c r="AP24" s="1">
        <v>-1.6495477996999999E-3</v>
      </c>
      <c r="AQ24" s="1">
        <v>-2.2548841225700001E-3</v>
      </c>
      <c r="AR24" s="1">
        <v>0.25</v>
      </c>
      <c r="AS24" s="1">
        <v>3.6516366388200001E-3</v>
      </c>
      <c r="AT24" s="1">
        <v>0.283015702142</v>
      </c>
      <c r="AU24" s="1">
        <v>3.6194000887599998E-3</v>
      </c>
      <c r="AV24" s="1">
        <v>0.28553640989000001</v>
      </c>
      <c r="AW24" s="1">
        <v>4</v>
      </c>
      <c r="AX24" s="1">
        <v>3.612135384E-3</v>
      </c>
      <c r="AY24" s="1">
        <v>0.28648950178100002</v>
      </c>
      <c r="AZ24" s="1">
        <v>1.0830548655200001</v>
      </c>
      <c r="BA24" s="1">
        <v>0.200715714923</v>
      </c>
      <c r="BB24" s="1">
        <v>1.2368224240400001</v>
      </c>
      <c r="BC24" s="1">
        <v>0.333789968017</v>
      </c>
      <c r="BD24" s="1">
        <v>-1.2764546296899999</v>
      </c>
      <c r="BE24" s="1">
        <v>1.9564599730200001</v>
      </c>
      <c r="BF24" s="1">
        <v>-1.0544321774300001</v>
      </c>
      <c r="BG24" s="1">
        <v>2.3538048742300002</v>
      </c>
    </row>
    <row r="25" spans="1:59" x14ac:dyDescent="0.3">
      <c r="A25" s="1" t="s">
        <v>135</v>
      </c>
      <c r="B25" s="1" t="s">
        <v>83</v>
      </c>
      <c r="C25" s="1" t="s">
        <v>84</v>
      </c>
      <c r="D25" s="2">
        <v>42688.844166666669</v>
      </c>
      <c r="E25" s="1">
        <v>288.97500000000002</v>
      </c>
      <c r="F25" s="1">
        <v>0.2</v>
      </c>
      <c r="G25" s="1">
        <v>20</v>
      </c>
      <c r="H25" s="1">
        <v>114</v>
      </c>
      <c r="I25" s="1">
        <v>-10.77</v>
      </c>
      <c r="J25" s="1">
        <v>-72.400000000000006</v>
      </c>
      <c r="K25" s="1">
        <v>1.4E-5</v>
      </c>
      <c r="L25" s="1">
        <v>-4</v>
      </c>
      <c r="M25" s="1">
        <v>20</v>
      </c>
      <c r="N25" s="1">
        <v>0.28940098170700002</v>
      </c>
      <c r="O25" s="1">
        <v>-4</v>
      </c>
      <c r="P25" s="1">
        <v>3.5826E-3</v>
      </c>
      <c r="Q25" s="1" t="s">
        <v>62</v>
      </c>
      <c r="R25" s="1">
        <v>2345</v>
      </c>
      <c r="S25" s="1">
        <v>620.79</v>
      </c>
      <c r="T25" s="1">
        <v>3746</v>
      </c>
      <c r="U25" s="1">
        <v>6277</v>
      </c>
      <c r="V25" s="1">
        <v>6277</v>
      </c>
      <c r="W25" s="1">
        <v>0.19750000000000001</v>
      </c>
      <c r="X25" s="1">
        <v>5</v>
      </c>
      <c r="Y25" s="1">
        <v>23</v>
      </c>
      <c r="Z25" s="1">
        <v>1</v>
      </c>
      <c r="AA25" s="1">
        <v>2.2599999999999999E-2</v>
      </c>
      <c r="AB25" s="1" t="s">
        <v>63</v>
      </c>
      <c r="AC25" s="1" t="s">
        <v>85</v>
      </c>
      <c r="AD25" s="1">
        <v>40</v>
      </c>
      <c r="AE25" s="1">
        <v>8.6920000000000002</v>
      </c>
      <c r="AF25" s="1">
        <v>200</v>
      </c>
      <c r="AG25" s="1" t="s">
        <v>65</v>
      </c>
      <c r="AH25" s="1" t="s">
        <v>86</v>
      </c>
      <c r="AI25" s="1">
        <v>2.869E-6</v>
      </c>
      <c r="AJ25" s="1">
        <v>2</v>
      </c>
      <c r="AK25" s="1">
        <v>4.2399999999999999E-7</v>
      </c>
      <c r="AL25" s="1">
        <v>25.6557754257</v>
      </c>
      <c r="AM25" s="1">
        <v>388.77569889300003</v>
      </c>
      <c r="AN25" s="1">
        <v>0.62625960291299998</v>
      </c>
      <c r="AO25" s="1">
        <v>697107.00592499995</v>
      </c>
      <c r="AP25" s="1">
        <v>-1.66879976055E-3</v>
      </c>
      <c r="AQ25" s="1">
        <v>-2.27413608342E-3</v>
      </c>
      <c r="AR25" s="1">
        <v>0.25</v>
      </c>
      <c r="AS25" s="1">
        <v>3.6703002289599999E-3</v>
      </c>
      <c r="AT25" s="1">
        <v>0.281576558546</v>
      </c>
      <c r="AU25" s="1">
        <v>3.6350333369199999E-3</v>
      </c>
      <c r="AV25" s="1">
        <v>0.28430839871699998</v>
      </c>
      <c r="AW25" s="1">
        <v>4</v>
      </c>
      <c r="AX25" s="1">
        <v>3.614556792E-3</v>
      </c>
      <c r="AY25" s="1">
        <v>0.28681952495000002</v>
      </c>
      <c r="AZ25" s="1">
        <v>1.44244445812</v>
      </c>
      <c r="BA25" s="1">
        <v>0.56331106269099995</v>
      </c>
      <c r="BB25" s="1">
        <v>1.7912179213099999</v>
      </c>
      <c r="BC25" s="1">
        <v>0.88324025745300005</v>
      </c>
      <c r="BD25" s="1">
        <v>-3.34522379107</v>
      </c>
      <c r="BE25" s="1">
        <v>-0.16897834024300001</v>
      </c>
      <c r="BF25" s="1">
        <v>-2.6111408151600002</v>
      </c>
      <c r="BG25" s="1">
        <v>0.92769118664600003</v>
      </c>
    </row>
    <row r="26" spans="1:59" x14ac:dyDescent="0.3">
      <c r="A26" s="1" t="s">
        <v>135</v>
      </c>
      <c r="B26" s="1" t="s">
        <v>87</v>
      </c>
      <c r="C26" s="1" t="s">
        <v>88</v>
      </c>
      <c r="D26" s="2">
        <v>42688.849733796298</v>
      </c>
      <c r="E26" s="1">
        <v>288.97500000000002</v>
      </c>
      <c r="F26" s="1">
        <v>0.2</v>
      </c>
      <c r="G26" s="1">
        <v>20</v>
      </c>
      <c r="H26" s="1">
        <v>114</v>
      </c>
      <c r="I26" s="1">
        <v>-10.27</v>
      </c>
      <c r="J26" s="1">
        <v>107.5</v>
      </c>
      <c r="K26" s="1">
        <v>1.5E-5</v>
      </c>
      <c r="L26" s="1">
        <v>-4</v>
      </c>
      <c r="M26" s="1">
        <v>20</v>
      </c>
      <c r="N26" s="1">
        <v>0.30654906794300002</v>
      </c>
      <c r="O26" s="1">
        <v>-4</v>
      </c>
      <c r="P26" s="1">
        <v>3.3768000000000001E-3</v>
      </c>
      <c r="Q26" s="1" t="s">
        <v>62</v>
      </c>
      <c r="R26" s="1">
        <v>2347</v>
      </c>
      <c r="S26" s="1">
        <v>639.15</v>
      </c>
      <c r="T26" s="1">
        <v>3957</v>
      </c>
      <c r="U26" s="1">
        <v>6665</v>
      </c>
      <c r="V26" s="1">
        <v>6665</v>
      </c>
      <c r="W26" s="1">
        <v>0.19750000000000001</v>
      </c>
      <c r="X26" s="1">
        <v>5</v>
      </c>
      <c r="Y26" s="1">
        <v>23</v>
      </c>
      <c r="Z26" s="1">
        <v>1</v>
      </c>
      <c r="AA26" s="1">
        <v>2.4199999999999999E-2</v>
      </c>
      <c r="AB26" s="1" t="s">
        <v>63</v>
      </c>
      <c r="AC26" s="1" t="s">
        <v>89</v>
      </c>
      <c r="AD26" s="1">
        <v>40</v>
      </c>
      <c r="AE26" s="1">
        <v>8.6920000000000002</v>
      </c>
      <c r="AF26" s="1">
        <v>200</v>
      </c>
      <c r="AG26" s="1" t="s">
        <v>65</v>
      </c>
      <c r="AH26" s="1" t="s">
        <v>90</v>
      </c>
      <c r="AI26" s="1">
        <v>2.869E-6</v>
      </c>
      <c r="AJ26" s="1">
        <v>2</v>
      </c>
      <c r="AK26" s="1">
        <v>4.2399999999999999E-7</v>
      </c>
      <c r="AL26" s="1">
        <v>25.6557754257</v>
      </c>
      <c r="AM26" s="1">
        <v>401.04827245299998</v>
      </c>
      <c r="AN26" s="1">
        <v>0.62747128601000002</v>
      </c>
      <c r="AO26" s="1">
        <v>697107.00592499995</v>
      </c>
      <c r="AP26" s="1">
        <v>-1.66403784598E-3</v>
      </c>
      <c r="AQ26" s="1">
        <v>-2.2693741688500002E-3</v>
      </c>
      <c r="AR26" s="1">
        <v>0.25</v>
      </c>
      <c r="AS26" s="1">
        <v>3.5579844988000001E-3</v>
      </c>
      <c r="AT26" s="1">
        <v>0.29046515173199999</v>
      </c>
      <c r="AU26" s="1">
        <v>3.5244849460000002E-3</v>
      </c>
      <c r="AV26" s="1">
        <v>0.29322596723599997</v>
      </c>
      <c r="AW26" s="1">
        <v>4</v>
      </c>
      <c r="AX26" s="1">
        <v>3.406921056E-3</v>
      </c>
      <c r="AY26" s="1">
        <v>0.303814650257</v>
      </c>
      <c r="AZ26" s="1">
        <v>4.1902561158799996</v>
      </c>
      <c r="BA26" s="1">
        <v>3.3356332004299998</v>
      </c>
      <c r="BB26" s="1">
        <v>4.54362921255</v>
      </c>
      <c r="BC26" s="1">
        <v>3.6111000399700002</v>
      </c>
      <c r="BD26" s="1">
        <v>-3.0586029349400001</v>
      </c>
      <c r="BE26" s="1">
        <v>3.7323496061200001E-2</v>
      </c>
      <c r="BF26" s="1">
        <v>-2.80526433081</v>
      </c>
      <c r="BG26" s="1">
        <v>0.83451791930800001</v>
      </c>
    </row>
    <row r="27" spans="1:59" x14ac:dyDescent="0.3">
      <c r="A27" s="1" t="s">
        <v>135</v>
      </c>
      <c r="B27" s="1" t="s">
        <v>91</v>
      </c>
      <c r="C27" s="1" t="s">
        <v>136</v>
      </c>
      <c r="D27" s="2">
        <v>42688.855000000003</v>
      </c>
      <c r="E27" s="1">
        <v>287.77499999999998</v>
      </c>
      <c r="F27" s="1">
        <v>0.2</v>
      </c>
      <c r="G27" s="1">
        <v>20</v>
      </c>
      <c r="H27" s="1">
        <v>114</v>
      </c>
      <c r="I27" s="1">
        <v>-10.84</v>
      </c>
      <c r="J27" s="1">
        <v>-72.3</v>
      </c>
      <c r="K27" s="1">
        <v>1.5E-5</v>
      </c>
      <c r="L27" s="1">
        <v>-4</v>
      </c>
      <c r="M27" s="1">
        <v>20</v>
      </c>
      <c r="N27" s="1">
        <v>0.287078058202</v>
      </c>
      <c r="O27" s="1">
        <v>-4</v>
      </c>
      <c r="P27" s="1">
        <v>3.5806000000000002E-3</v>
      </c>
      <c r="Q27" s="1" t="s">
        <v>62</v>
      </c>
      <c r="R27" s="1">
        <v>2493</v>
      </c>
      <c r="S27" s="1">
        <v>621.46</v>
      </c>
      <c r="T27" s="1">
        <v>3761</v>
      </c>
      <c r="U27" s="1">
        <v>6296</v>
      </c>
      <c r="V27" s="1">
        <v>6296</v>
      </c>
      <c r="W27" s="1">
        <v>0.19750000000000001</v>
      </c>
      <c r="X27" s="1">
        <v>5</v>
      </c>
      <c r="Y27" s="1">
        <v>23</v>
      </c>
      <c r="Z27" s="1">
        <v>1</v>
      </c>
      <c r="AA27" s="1">
        <v>2.3400000000000001E-2</v>
      </c>
      <c r="AB27" s="1" t="s">
        <v>63</v>
      </c>
      <c r="AC27" s="1" t="s">
        <v>93</v>
      </c>
      <c r="AD27" s="1">
        <v>40</v>
      </c>
      <c r="AE27" s="1">
        <v>8.6920000000000002</v>
      </c>
      <c r="AF27" s="1">
        <v>200</v>
      </c>
      <c r="AG27" s="1" t="s">
        <v>65</v>
      </c>
      <c r="AH27" s="1" t="s">
        <v>94</v>
      </c>
      <c r="AI27" s="1">
        <v>2.8729999999999999E-6</v>
      </c>
      <c r="AJ27" s="1">
        <v>2</v>
      </c>
      <c r="AK27" s="1">
        <v>4.2399999999999999E-7</v>
      </c>
      <c r="AL27" s="1">
        <v>25.6557754257</v>
      </c>
      <c r="AM27" s="1">
        <v>389.05361042099997</v>
      </c>
      <c r="AN27" s="1">
        <v>0.62603161976699995</v>
      </c>
      <c r="AO27" s="1">
        <v>696136.44274299999</v>
      </c>
      <c r="AP27" s="1">
        <v>-1.6696957343100001E-3</v>
      </c>
      <c r="AQ27" s="1">
        <v>-2.2750320571800001E-3</v>
      </c>
      <c r="AR27" s="1">
        <v>0.25</v>
      </c>
      <c r="AS27" s="1">
        <v>3.67279196279E-3</v>
      </c>
      <c r="AT27" s="1">
        <v>0.28138552844100001</v>
      </c>
      <c r="AU27" s="1">
        <v>3.63737257517E-3</v>
      </c>
      <c r="AV27" s="1">
        <v>0.28412555654999999</v>
      </c>
      <c r="AW27" s="1">
        <v>4</v>
      </c>
      <c r="AX27" s="1">
        <v>3.6125389519999999E-3</v>
      </c>
      <c r="AY27" s="1">
        <v>0.284517321923</v>
      </c>
      <c r="AZ27" s="1">
        <v>1.5608127570000001</v>
      </c>
      <c r="BA27" s="1">
        <v>0.68273520678900002</v>
      </c>
      <c r="BB27" s="1">
        <v>1.0391538473099999</v>
      </c>
      <c r="BC27" s="1">
        <v>0.13788459499200001</v>
      </c>
      <c r="BD27" s="1">
        <v>-2.7382402528599998</v>
      </c>
      <c r="BE27" s="1">
        <v>0.45987263208000001</v>
      </c>
      <c r="BF27" s="1">
        <v>-2.8307430566299998</v>
      </c>
      <c r="BG27" s="1">
        <v>0.69211820987899997</v>
      </c>
    </row>
    <row r="28" spans="1:59" x14ac:dyDescent="0.3">
      <c r="A28" s="1" t="s">
        <v>135</v>
      </c>
      <c r="B28" s="1" t="s">
        <v>95</v>
      </c>
      <c r="C28" s="1" t="s">
        <v>96</v>
      </c>
      <c r="D28" s="2">
        <v>42688.864745370367</v>
      </c>
      <c r="E28" s="1">
        <v>288.52499999999998</v>
      </c>
      <c r="F28" s="1">
        <v>0.2</v>
      </c>
      <c r="G28" s="1">
        <v>20</v>
      </c>
      <c r="H28" s="1">
        <v>114</v>
      </c>
      <c r="I28" s="1">
        <v>-11.12</v>
      </c>
      <c r="J28" s="1">
        <v>107.3</v>
      </c>
      <c r="K28" s="1">
        <v>1.2999999999999999E-5</v>
      </c>
      <c r="L28" s="1">
        <v>-4</v>
      </c>
      <c r="M28" s="1">
        <v>20</v>
      </c>
      <c r="N28" s="1">
        <v>0.27797132677600001</v>
      </c>
      <c r="O28" s="1">
        <v>-4</v>
      </c>
      <c r="P28" s="1">
        <v>3.6906999999999999E-3</v>
      </c>
      <c r="Q28" s="1" t="s">
        <v>62</v>
      </c>
      <c r="R28" s="1">
        <v>2348</v>
      </c>
      <c r="S28" s="1">
        <v>601.74</v>
      </c>
      <c r="T28" s="1">
        <v>3754</v>
      </c>
      <c r="U28" s="1">
        <v>5886</v>
      </c>
      <c r="V28" s="1">
        <v>5886</v>
      </c>
      <c r="W28" s="1">
        <v>0.19750000000000001</v>
      </c>
      <c r="X28" s="1">
        <v>5</v>
      </c>
      <c r="Y28" s="1">
        <v>23</v>
      </c>
      <c r="Z28" s="1">
        <v>1</v>
      </c>
      <c r="AA28" s="1">
        <v>2.07E-2</v>
      </c>
      <c r="AB28" s="1" t="s">
        <v>63</v>
      </c>
      <c r="AC28" s="1" t="s">
        <v>97</v>
      </c>
      <c r="AD28" s="1">
        <v>40</v>
      </c>
      <c r="AE28" s="1">
        <v>8.6920000000000002</v>
      </c>
      <c r="AF28" s="1">
        <v>200</v>
      </c>
      <c r="AG28" s="1" t="s">
        <v>65</v>
      </c>
      <c r="AH28" s="1" t="s">
        <v>98</v>
      </c>
      <c r="AI28" s="1">
        <v>2.8650000000000001E-6</v>
      </c>
      <c r="AJ28" s="1">
        <v>2</v>
      </c>
      <c r="AK28" s="1">
        <v>4.2399999999999999E-7</v>
      </c>
      <c r="AL28" s="1">
        <v>25.6557754257</v>
      </c>
      <c r="AM28" s="1">
        <v>367.41095850599999</v>
      </c>
      <c r="AN28" s="1">
        <v>0.61058091286299998</v>
      </c>
      <c r="AO28" s="1">
        <v>698080.279232</v>
      </c>
      <c r="AP28" s="1">
        <v>-1.73041701245E-3</v>
      </c>
      <c r="AQ28" s="1">
        <v>-2.3357533353199999E-3</v>
      </c>
      <c r="AR28" s="1">
        <v>0.25</v>
      </c>
      <c r="AS28" s="1">
        <v>3.8783113755300001E-3</v>
      </c>
      <c r="AT28" s="1">
        <v>0.26647435113700002</v>
      </c>
      <c r="AU28" s="1">
        <v>3.8315059108600001E-3</v>
      </c>
      <c r="AV28" s="1">
        <v>0.26972958709799999</v>
      </c>
      <c r="AW28" s="1">
        <v>4</v>
      </c>
      <c r="AX28" s="1">
        <v>3.7236210440000001E-3</v>
      </c>
      <c r="AY28" s="1">
        <v>0.27549182254100002</v>
      </c>
      <c r="AZ28" s="1">
        <v>3.67494959264</v>
      </c>
      <c r="BA28" s="1">
        <v>2.8157301430000001</v>
      </c>
      <c r="BB28" s="1">
        <v>3.05555640604</v>
      </c>
      <c r="BC28" s="1">
        <v>2.1363008428999999</v>
      </c>
      <c r="BD28" s="1">
        <v>-2.0801220683000001</v>
      </c>
      <c r="BE28" s="1">
        <v>1.0748327148100001</v>
      </c>
      <c r="BF28" s="1">
        <v>-2.27913140287</v>
      </c>
      <c r="BG28" s="1">
        <v>1.28813339183</v>
      </c>
    </row>
    <row r="29" spans="1:59" x14ac:dyDescent="0.3">
      <c r="A29" s="1" t="s">
        <v>135</v>
      </c>
      <c r="B29" s="1" t="s">
        <v>99</v>
      </c>
      <c r="C29" s="1" t="s">
        <v>100</v>
      </c>
      <c r="D29" s="2">
        <v>42688.701886574076</v>
      </c>
      <c r="E29" s="1">
        <v>288.375</v>
      </c>
      <c r="F29" s="1">
        <v>0.2</v>
      </c>
      <c r="G29" s="1">
        <v>20</v>
      </c>
      <c r="H29" s="1">
        <v>114</v>
      </c>
      <c r="I29" s="1">
        <v>-10.56</v>
      </c>
      <c r="J29" s="1">
        <v>-72.7</v>
      </c>
      <c r="K29" s="1">
        <v>1.1E-5</v>
      </c>
      <c r="L29" s="1">
        <v>-4.5</v>
      </c>
      <c r="M29" s="1">
        <v>20</v>
      </c>
      <c r="N29" s="1">
        <v>0.29648313895200001</v>
      </c>
      <c r="O29" s="1">
        <v>-4.5</v>
      </c>
      <c r="P29" s="1">
        <v>3.4643E-3</v>
      </c>
      <c r="Q29" s="1" t="s">
        <v>62</v>
      </c>
      <c r="R29" s="1">
        <v>1192</v>
      </c>
      <c r="S29" s="1">
        <v>619.20000000000005</v>
      </c>
      <c r="T29" s="1">
        <v>3774</v>
      </c>
      <c r="U29" s="1">
        <v>6249</v>
      </c>
      <c r="V29" s="1">
        <v>6249</v>
      </c>
      <c r="W29" s="1">
        <v>0.19750000000000001</v>
      </c>
      <c r="X29" s="1">
        <v>5</v>
      </c>
      <c r="Y29" s="1">
        <v>23</v>
      </c>
      <c r="Z29" s="1">
        <v>1</v>
      </c>
      <c r="AA29" s="1">
        <v>2.3300000000000001E-2</v>
      </c>
      <c r="AB29" s="1" t="s">
        <v>63</v>
      </c>
      <c r="AC29" s="1" t="s">
        <v>101</v>
      </c>
      <c r="AD29" s="1">
        <v>40</v>
      </c>
      <c r="AE29" s="1">
        <v>8.6920000000000002</v>
      </c>
      <c r="AF29" s="1">
        <v>200</v>
      </c>
      <c r="AG29" s="1" t="s">
        <v>65</v>
      </c>
      <c r="AH29" s="1" t="s">
        <v>102</v>
      </c>
      <c r="AI29" s="1">
        <v>2.8669999999999998E-6</v>
      </c>
      <c r="AJ29" s="1">
        <v>2</v>
      </c>
      <c r="AK29" s="1">
        <v>4.2399999999999999E-7</v>
      </c>
      <c r="AL29" s="1">
        <v>25.6557754257</v>
      </c>
      <c r="AM29" s="1">
        <v>386.05016462100002</v>
      </c>
      <c r="AN29" s="1">
        <v>0.62346602813499996</v>
      </c>
      <c r="AO29" s="1">
        <v>697593.30310400005</v>
      </c>
      <c r="AP29" s="1">
        <v>-1.67977850943E-3</v>
      </c>
      <c r="AQ29" s="1">
        <v>-2.2851148323000002E-3</v>
      </c>
      <c r="AR29" s="1">
        <v>0.25</v>
      </c>
      <c r="AS29" s="1">
        <v>3.6936360839600001E-3</v>
      </c>
      <c r="AT29" s="1">
        <v>0.27979759884599997</v>
      </c>
      <c r="AU29" s="1">
        <v>3.6565157529700001E-3</v>
      </c>
      <c r="AV29" s="1">
        <v>0.282638056862</v>
      </c>
      <c r="AW29" s="1">
        <v>4</v>
      </c>
      <c r="AX29" s="1">
        <v>3.4990642505000002E-3</v>
      </c>
      <c r="AY29" s="1">
        <v>0.29350793065300002</v>
      </c>
      <c r="AZ29" s="1">
        <v>5.2568008987699999</v>
      </c>
      <c r="BA29" s="1">
        <v>4.3060528957899997</v>
      </c>
      <c r="BB29" s="1">
        <v>4.89852012307</v>
      </c>
      <c r="BC29" s="1">
        <v>3.8458634736400001</v>
      </c>
      <c r="BD29" s="1">
        <v>-1.26623275074</v>
      </c>
      <c r="BE29" s="1">
        <v>2.7650611218600001</v>
      </c>
      <c r="BF29" s="1">
        <v>-2.3198895786399998</v>
      </c>
      <c r="BG29" s="1">
        <v>2.3418733538000001</v>
      </c>
    </row>
    <row r="30" spans="1:59" x14ac:dyDescent="0.3">
      <c r="A30" s="1" t="s">
        <v>135</v>
      </c>
      <c r="B30" s="1" t="s">
        <v>103</v>
      </c>
      <c r="C30" s="1" t="s">
        <v>104</v>
      </c>
      <c r="D30" s="2">
        <v>42688.755173611113</v>
      </c>
      <c r="E30" s="1">
        <v>293.97500000000002</v>
      </c>
      <c r="F30" s="1">
        <v>0.2</v>
      </c>
      <c r="G30" s="1">
        <v>20</v>
      </c>
      <c r="H30" s="1">
        <v>116</v>
      </c>
      <c r="I30" s="1">
        <v>-10.51</v>
      </c>
      <c r="J30" s="1">
        <v>-72.3</v>
      </c>
      <c r="K30" s="1">
        <v>1.2E-5</v>
      </c>
      <c r="L30" s="1">
        <v>-4.5</v>
      </c>
      <c r="M30" s="1">
        <v>20</v>
      </c>
      <c r="N30" s="1">
        <v>0.29819475479300001</v>
      </c>
      <c r="O30" s="1">
        <v>-4.5</v>
      </c>
      <c r="P30" s="1">
        <v>3.4508999999999998E-3</v>
      </c>
      <c r="Q30" s="1" t="s">
        <v>62</v>
      </c>
      <c r="R30" s="1">
        <v>832</v>
      </c>
      <c r="S30" s="1">
        <v>628.26</v>
      </c>
      <c r="T30" s="1">
        <v>3591</v>
      </c>
      <c r="U30" s="1">
        <v>6355</v>
      </c>
      <c r="V30" s="1">
        <v>6355</v>
      </c>
      <c r="W30" s="1">
        <v>0.19750000000000001</v>
      </c>
      <c r="X30" s="1">
        <v>5</v>
      </c>
      <c r="Y30" s="1">
        <v>23</v>
      </c>
      <c r="Z30" s="1">
        <v>1</v>
      </c>
      <c r="AA30" s="1">
        <v>1.12E-2</v>
      </c>
      <c r="AB30" s="1" t="s">
        <v>63</v>
      </c>
      <c r="AC30" s="1" t="s">
        <v>105</v>
      </c>
      <c r="AD30" s="1">
        <v>40</v>
      </c>
      <c r="AE30" s="1">
        <v>8.6920000000000002</v>
      </c>
      <c r="AF30" s="1">
        <v>200</v>
      </c>
      <c r="AG30" s="1" t="s">
        <v>65</v>
      </c>
      <c r="AH30" s="1" t="s">
        <v>106</v>
      </c>
      <c r="AI30" s="1">
        <v>2.8669999999999998E-6</v>
      </c>
      <c r="AJ30" s="1">
        <v>2</v>
      </c>
      <c r="AK30" s="1">
        <v>4.2399999999999999E-7</v>
      </c>
      <c r="AL30" s="1">
        <v>25.6557754257</v>
      </c>
      <c r="AM30" s="1">
        <v>401.42693545100002</v>
      </c>
      <c r="AN30" s="1">
        <v>0.638950331792</v>
      </c>
      <c r="AO30" s="1">
        <v>697593.30310400005</v>
      </c>
      <c r="AP30" s="1">
        <v>-1.6189251960600001E-3</v>
      </c>
      <c r="AQ30" s="1">
        <v>-2.22426151893E-3</v>
      </c>
      <c r="AR30" s="1">
        <v>0.25</v>
      </c>
      <c r="AS30" s="1">
        <v>3.5521503226000001E-3</v>
      </c>
      <c r="AT30" s="1">
        <v>0.29094222187800001</v>
      </c>
      <c r="AU30" s="1">
        <v>3.52524020478E-3</v>
      </c>
      <c r="AV30" s="1">
        <v>0.29316314556400003</v>
      </c>
      <c r="AW30" s="1">
        <v>4</v>
      </c>
      <c r="AX30" s="1">
        <v>3.4855297814999999E-3</v>
      </c>
      <c r="AY30" s="1">
        <v>0.29520237042800002</v>
      </c>
      <c r="AZ30" s="1">
        <v>2.1087982793500002</v>
      </c>
      <c r="BA30" s="1">
        <v>1.12646007009</v>
      </c>
      <c r="BB30" s="1">
        <v>1.7163171103899999</v>
      </c>
      <c r="BC30" s="1">
        <v>0.69559386818400004</v>
      </c>
      <c r="BD30" s="1">
        <v>-2.1530447740000001</v>
      </c>
      <c r="BE30" s="1">
        <v>1.71097825953</v>
      </c>
      <c r="BF30" s="1">
        <v>-2.2495133750699998</v>
      </c>
      <c r="BG30" s="1">
        <v>1.9926176877299999</v>
      </c>
    </row>
    <row r="31" spans="1:59" x14ac:dyDescent="0.3">
      <c r="A31" s="1" t="s">
        <v>135</v>
      </c>
      <c r="B31" s="1" t="s">
        <v>107</v>
      </c>
      <c r="C31" s="1" t="s">
        <v>108</v>
      </c>
      <c r="D31" s="2">
        <v>42688.758611111109</v>
      </c>
      <c r="E31" s="1">
        <v>291.97500000000002</v>
      </c>
      <c r="F31" s="1">
        <v>0.2</v>
      </c>
      <c r="G31" s="1">
        <v>20</v>
      </c>
      <c r="H31" s="1">
        <v>115</v>
      </c>
      <c r="I31" s="1">
        <v>-11.81</v>
      </c>
      <c r="J31" s="1">
        <v>-72.900000000000006</v>
      </c>
      <c r="K31" s="1">
        <v>1.0000000000000001E-5</v>
      </c>
      <c r="L31" s="1">
        <v>-4.5</v>
      </c>
      <c r="M31" s="1">
        <v>20</v>
      </c>
      <c r="N31" s="1">
        <v>0.256743820811</v>
      </c>
      <c r="O31" s="1">
        <v>-4.5</v>
      </c>
      <c r="P31" s="1">
        <v>3.9497000000000004E-3</v>
      </c>
      <c r="Q31" s="1" t="s">
        <v>62</v>
      </c>
      <c r="R31" s="1">
        <v>822</v>
      </c>
      <c r="S31" s="1">
        <v>619.91999999999996</v>
      </c>
      <c r="T31" s="1">
        <v>3790</v>
      </c>
      <c r="U31" s="1">
        <v>6255</v>
      </c>
      <c r="V31" s="1">
        <v>6255</v>
      </c>
      <c r="W31" s="1">
        <v>0.19750000000000001</v>
      </c>
      <c r="X31" s="1">
        <v>5</v>
      </c>
      <c r="Y31" s="1">
        <v>23</v>
      </c>
      <c r="Z31" s="1">
        <v>1</v>
      </c>
      <c r="AA31" s="1">
        <v>2.1899999999999999E-2</v>
      </c>
      <c r="AB31" s="1" t="s">
        <v>63</v>
      </c>
      <c r="AC31" s="1" t="s">
        <v>109</v>
      </c>
      <c r="AD31" s="1">
        <v>40</v>
      </c>
      <c r="AE31" s="1">
        <v>8.6920000000000002</v>
      </c>
      <c r="AF31" s="1">
        <v>200</v>
      </c>
      <c r="AG31" s="1" t="s">
        <v>65</v>
      </c>
      <c r="AH31" s="1" t="s">
        <v>110</v>
      </c>
      <c r="AI31" s="1">
        <v>2.8669999999999998E-6</v>
      </c>
      <c r="AJ31" s="1">
        <v>2</v>
      </c>
      <c r="AK31" s="1">
        <v>4.2399999999999999E-7</v>
      </c>
      <c r="AL31" s="1">
        <v>25.6557754257</v>
      </c>
      <c r="AM31" s="1">
        <v>386.02285714300001</v>
      </c>
      <c r="AN31" s="1">
        <v>0.62269785963199997</v>
      </c>
      <c r="AO31" s="1">
        <v>697593.30310400005</v>
      </c>
      <c r="AP31" s="1">
        <v>-1.6827974116500001E-3</v>
      </c>
      <c r="AQ31" s="1">
        <v>-2.2881337345199999E-3</v>
      </c>
      <c r="AR31" s="1">
        <v>0.25</v>
      </c>
      <c r="AS31" s="1">
        <v>3.6938973739000002E-3</v>
      </c>
      <c r="AT31" s="1">
        <v>0.279777807203</v>
      </c>
      <c r="AU31" s="1">
        <v>3.6563194701999999E-3</v>
      </c>
      <c r="AV31" s="1">
        <v>0.28265322976399998</v>
      </c>
      <c r="AW31" s="1">
        <v>4</v>
      </c>
      <c r="AX31" s="1">
        <v>3.9893352394999998E-3</v>
      </c>
      <c r="AY31" s="1">
        <v>0.254167396569</v>
      </c>
      <c r="AZ31" s="1">
        <v>-8.0239304084699992</v>
      </c>
      <c r="BA31" s="1">
        <v>-9.10795055012</v>
      </c>
      <c r="BB31" s="1">
        <v>-9.1665002290299995</v>
      </c>
      <c r="BC31" s="1">
        <v>-10.078014399200001</v>
      </c>
      <c r="BD31" s="1">
        <v>-3.3558336737299999</v>
      </c>
      <c r="BE31" s="1">
        <v>0.858549909434</v>
      </c>
      <c r="BF31" s="1">
        <v>-1.9020065885699999</v>
      </c>
      <c r="BG31" s="1">
        <v>1.88084330866</v>
      </c>
    </row>
    <row r="32" spans="1:59" x14ac:dyDescent="0.3">
      <c r="A32" s="1" t="s">
        <v>135</v>
      </c>
      <c r="B32" s="1" t="s">
        <v>111</v>
      </c>
      <c r="C32" s="1" t="s">
        <v>112</v>
      </c>
      <c r="D32" s="2">
        <v>42688.764143518521</v>
      </c>
      <c r="E32" s="1">
        <v>292.375</v>
      </c>
      <c r="F32" s="1">
        <v>0.2</v>
      </c>
      <c r="G32" s="1">
        <v>20</v>
      </c>
      <c r="H32" s="1">
        <v>115</v>
      </c>
      <c r="I32" s="1">
        <v>-10.64</v>
      </c>
      <c r="J32" s="1">
        <v>-72.8</v>
      </c>
      <c r="K32" s="1">
        <v>1.2999999999999999E-5</v>
      </c>
      <c r="L32" s="1">
        <v>-4.5</v>
      </c>
      <c r="M32" s="1">
        <v>20</v>
      </c>
      <c r="N32" s="1">
        <v>0.29376496519599998</v>
      </c>
      <c r="O32" s="1">
        <v>-4.5</v>
      </c>
      <c r="P32" s="1">
        <v>3.5155999999999998E-3</v>
      </c>
      <c r="Q32" s="1" t="s">
        <v>62</v>
      </c>
      <c r="R32" s="1">
        <v>2474</v>
      </c>
      <c r="S32" s="1">
        <v>626.6</v>
      </c>
      <c r="T32" s="1">
        <v>3619</v>
      </c>
      <c r="U32" s="1">
        <v>6407</v>
      </c>
      <c r="V32" s="1">
        <v>6407</v>
      </c>
      <c r="W32" s="1">
        <v>0.19750000000000001</v>
      </c>
      <c r="X32" s="1">
        <v>5</v>
      </c>
      <c r="Y32" s="1">
        <v>23</v>
      </c>
      <c r="Z32" s="1">
        <v>1</v>
      </c>
      <c r="AA32" s="1">
        <v>2.4400000000000002E-2</v>
      </c>
      <c r="AB32" s="1" t="s">
        <v>63</v>
      </c>
      <c r="AC32" s="1" t="s">
        <v>113</v>
      </c>
      <c r="AD32" s="1">
        <v>40</v>
      </c>
      <c r="AE32" s="1">
        <v>8.6920000000000002</v>
      </c>
      <c r="AF32" s="1">
        <v>200</v>
      </c>
      <c r="AG32" s="1" t="s">
        <v>65</v>
      </c>
      <c r="AH32" s="1" t="s">
        <v>114</v>
      </c>
      <c r="AI32" s="1">
        <v>2.864E-6</v>
      </c>
      <c r="AJ32" s="1">
        <v>2</v>
      </c>
      <c r="AK32" s="1">
        <v>4.2399999999999999E-7</v>
      </c>
      <c r="AL32" s="1">
        <v>25.6557754257</v>
      </c>
      <c r="AM32" s="1">
        <v>400.42152403799997</v>
      </c>
      <c r="AN32" s="1">
        <v>0.63903849989999995</v>
      </c>
      <c r="AO32" s="1">
        <v>698324.02234599995</v>
      </c>
      <c r="AP32" s="1">
        <v>-1.61857869539E-3</v>
      </c>
      <c r="AQ32" s="1">
        <v>-2.2239150182600002E-3</v>
      </c>
      <c r="AR32" s="1">
        <v>0.25</v>
      </c>
      <c r="AS32" s="1">
        <v>3.5573430876300002E-3</v>
      </c>
      <c r="AT32" s="1">
        <v>0.29051752441200002</v>
      </c>
      <c r="AU32" s="1">
        <v>3.5304434487899998E-3</v>
      </c>
      <c r="AV32" s="1">
        <v>0.29273107537100002</v>
      </c>
      <c r="AW32" s="1">
        <v>4</v>
      </c>
      <c r="AX32" s="1">
        <v>3.5508790460000001E-3</v>
      </c>
      <c r="AY32" s="1">
        <v>0.29081703377000001</v>
      </c>
      <c r="AZ32" s="1">
        <v>0.420441483</v>
      </c>
      <c r="BA32" s="1">
        <v>-0.57883938671799995</v>
      </c>
      <c r="BB32" s="1">
        <v>0.35318758819700002</v>
      </c>
      <c r="BC32" s="1">
        <v>-0.65385664925099996</v>
      </c>
      <c r="BD32" s="1">
        <v>-2.99112566259</v>
      </c>
      <c r="BE32" s="1">
        <v>0.89899652721699996</v>
      </c>
      <c r="BF32" s="1">
        <v>-2.4558211601000002</v>
      </c>
      <c r="BG32" s="1">
        <v>1.7414294343000001</v>
      </c>
    </row>
    <row r="33" spans="1:59" x14ac:dyDescent="0.3">
      <c r="A33" s="1" t="s">
        <v>135</v>
      </c>
      <c r="B33" s="1" t="s">
        <v>115</v>
      </c>
      <c r="C33" s="1" t="s">
        <v>116</v>
      </c>
      <c r="D33" s="2">
        <v>42688.775879629633</v>
      </c>
      <c r="E33" s="1">
        <v>293.375</v>
      </c>
      <c r="F33" s="1">
        <v>0.2</v>
      </c>
      <c r="G33" s="1">
        <v>20</v>
      </c>
      <c r="H33" s="1">
        <v>116</v>
      </c>
      <c r="I33" s="1">
        <v>-11.01</v>
      </c>
      <c r="J33" s="1">
        <v>107.2</v>
      </c>
      <c r="K33" s="1">
        <v>1.8E-5</v>
      </c>
      <c r="L33" s="1">
        <v>-4.5</v>
      </c>
      <c r="M33" s="1">
        <v>20</v>
      </c>
      <c r="N33" s="1">
        <v>0.28151400151299999</v>
      </c>
      <c r="O33" s="1">
        <v>-4.5</v>
      </c>
      <c r="P33" s="1">
        <v>3.6510000000000002E-3</v>
      </c>
      <c r="Q33" s="1" t="s">
        <v>62</v>
      </c>
      <c r="R33" s="1">
        <v>2349</v>
      </c>
      <c r="S33" s="1">
        <v>615.83000000000004</v>
      </c>
      <c r="T33" s="1">
        <v>3762</v>
      </c>
      <c r="U33" s="1">
        <v>6164</v>
      </c>
      <c r="V33" s="1">
        <v>6164</v>
      </c>
      <c r="W33" s="1">
        <v>0.19750000000000001</v>
      </c>
      <c r="X33" s="1">
        <v>5</v>
      </c>
      <c r="Y33" s="1">
        <v>23</v>
      </c>
      <c r="Z33" s="1">
        <v>1</v>
      </c>
      <c r="AA33" s="1">
        <v>2.0500000000000001E-2</v>
      </c>
      <c r="AB33" s="1" t="s">
        <v>63</v>
      </c>
      <c r="AC33" s="1" t="s">
        <v>117</v>
      </c>
      <c r="AD33" s="1">
        <v>40</v>
      </c>
      <c r="AE33" s="1">
        <v>8.6920000000000002</v>
      </c>
      <c r="AF33" s="1">
        <v>200</v>
      </c>
      <c r="AG33" s="1" t="s">
        <v>65</v>
      </c>
      <c r="AH33" s="1" t="s">
        <v>118</v>
      </c>
      <c r="AI33" s="1">
        <v>2.869E-6</v>
      </c>
      <c r="AJ33" s="1">
        <v>2</v>
      </c>
      <c r="AK33" s="1">
        <v>4.2399999999999999E-7</v>
      </c>
      <c r="AL33" s="1">
        <v>25.6557754257</v>
      </c>
      <c r="AM33" s="1">
        <v>382.427576063</v>
      </c>
      <c r="AN33" s="1">
        <v>0.620995365706</v>
      </c>
      <c r="AO33" s="1">
        <v>697107.00592499995</v>
      </c>
      <c r="AP33" s="1">
        <v>-1.68948821277E-3</v>
      </c>
      <c r="AQ33" s="1">
        <v>-2.2948245356399998E-3</v>
      </c>
      <c r="AR33" s="1">
        <v>0.25</v>
      </c>
      <c r="AS33" s="1">
        <v>3.73122553386E-3</v>
      </c>
      <c r="AT33" s="1">
        <v>0.27697883655700001</v>
      </c>
      <c r="AU33" s="1">
        <v>3.69226557105E-3</v>
      </c>
      <c r="AV33" s="1">
        <v>0.27990145546599998</v>
      </c>
      <c r="AW33" s="1">
        <v>4</v>
      </c>
      <c r="AX33" s="1">
        <v>3.687637785E-3</v>
      </c>
      <c r="AY33" s="1">
        <v>0.27868900850799999</v>
      </c>
      <c r="AZ33" s="1">
        <v>1.1176219655399999</v>
      </c>
      <c r="BA33" s="1">
        <v>0.12533730196699999</v>
      </c>
      <c r="BB33" s="1">
        <v>0.57611206237099999</v>
      </c>
      <c r="BC33" s="1">
        <v>-0.43316922217499998</v>
      </c>
      <c r="BD33" s="1">
        <v>-2.5458623761300001</v>
      </c>
      <c r="BE33" s="1">
        <v>0.97329198857699994</v>
      </c>
      <c r="BF33" s="1">
        <v>-2.3427186019000001</v>
      </c>
      <c r="BG33" s="1">
        <v>1.46768895356</v>
      </c>
    </row>
    <row r="34" spans="1:59" x14ac:dyDescent="0.3">
      <c r="A34" s="1" t="s">
        <v>135</v>
      </c>
      <c r="B34" s="1" t="s">
        <v>119</v>
      </c>
      <c r="C34" s="1" t="s">
        <v>120</v>
      </c>
      <c r="D34" s="2">
        <v>42688.785370370373</v>
      </c>
      <c r="E34" s="1">
        <v>287.97500000000002</v>
      </c>
      <c r="F34" s="1">
        <v>0.2</v>
      </c>
      <c r="G34" s="1">
        <v>20</v>
      </c>
      <c r="H34" s="1">
        <v>114</v>
      </c>
      <c r="I34" s="1">
        <v>-10.71</v>
      </c>
      <c r="J34" s="1">
        <v>-72.5</v>
      </c>
      <c r="K34" s="1">
        <v>1.5E-5</v>
      </c>
      <c r="L34" s="1">
        <v>-4.5</v>
      </c>
      <c r="M34" s="1">
        <v>20</v>
      </c>
      <c r="N34" s="1">
        <v>0.29140701347699999</v>
      </c>
      <c r="O34" s="1">
        <v>-4.5</v>
      </c>
      <c r="P34" s="1">
        <v>3.5116000000000001E-3</v>
      </c>
      <c r="Q34" s="1" t="s">
        <v>62</v>
      </c>
      <c r="R34" s="1">
        <v>2350</v>
      </c>
      <c r="S34" s="1">
        <v>616.95000000000005</v>
      </c>
      <c r="T34" s="1">
        <v>3661</v>
      </c>
      <c r="U34" s="1">
        <v>6211</v>
      </c>
      <c r="V34" s="1">
        <v>6211</v>
      </c>
      <c r="W34" s="1">
        <v>0.19750000000000001</v>
      </c>
      <c r="X34" s="1">
        <v>5</v>
      </c>
      <c r="Y34" s="1">
        <v>23</v>
      </c>
      <c r="Z34" s="1">
        <v>1</v>
      </c>
      <c r="AA34" s="1">
        <v>2.4400000000000002E-2</v>
      </c>
      <c r="AB34" s="1" t="s">
        <v>63</v>
      </c>
      <c r="AC34" s="1" t="s">
        <v>121</v>
      </c>
      <c r="AD34" s="1">
        <v>40</v>
      </c>
      <c r="AE34" s="1">
        <v>8.6920000000000002</v>
      </c>
      <c r="AF34" s="1">
        <v>200</v>
      </c>
      <c r="AG34" s="1" t="s">
        <v>65</v>
      </c>
      <c r="AH34" s="1" t="s">
        <v>122</v>
      </c>
      <c r="AI34" s="1">
        <v>2.875E-6</v>
      </c>
      <c r="AJ34" s="1">
        <v>2</v>
      </c>
      <c r="AK34" s="1">
        <v>4.2399999999999999E-7</v>
      </c>
      <c r="AL34" s="1">
        <v>25.6557754257</v>
      </c>
      <c r="AM34" s="1">
        <v>388.15604234199998</v>
      </c>
      <c r="AN34" s="1">
        <v>0.62915316045400005</v>
      </c>
      <c r="AO34" s="1">
        <v>695652.17391300004</v>
      </c>
      <c r="AP34" s="1">
        <v>-1.6574280794199999E-3</v>
      </c>
      <c r="AQ34" s="1">
        <v>-2.2627644022899999E-3</v>
      </c>
      <c r="AR34" s="1">
        <v>0.25</v>
      </c>
      <c r="AS34" s="1">
        <v>3.6838475660799998E-3</v>
      </c>
      <c r="AT34" s="1">
        <v>0.28054106169300003</v>
      </c>
      <c r="AU34" s="1">
        <v>3.6501489754799999E-3</v>
      </c>
      <c r="AV34" s="1">
        <v>0.28313104869</v>
      </c>
      <c r="AW34" s="1">
        <v>4</v>
      </c>
      <c r="AX34" s="1">
        <v>3.5468389059999999E-3</v>
      </c>
      <c r="AY34" s="1">
        <v>0.28848274409699998</v>
      </c>
      <c r="AZ34" s="1">
        <v>3.7957074193599998</v>
      </c>
      <c r="BA34" s="1">
        <v>2.8302973433099998</v>
      </c>
      <c r="BB34" s="1">
        <v>2.92301562313</v>
      </c>
      <c r="BC34" s="1">
        <v>1.89018316136</v>
      </c>
      <c r="BD34" s="1">
        <v>-3.38616316294</v>
      </c>
      <c r="BE34" s="1">
        <v>-4.9002383519599997E-3</v>
      </c>
      <c r="BF34" s="1">
        <v>-2.5187094272100001</v>
      </c>
      <c r="BG34" s="1">
        <v>1.38629409512</v>
      </c>
    </row>
    <row r="35" spans="1:59" x14ac:dyDescent="0.3">
      <c r="A35" s="1" t="s">
        <v>135</v>
      </c>
      <c r="B35" s="1" t="s">
        <v>123</v>
      </c>
      <c r="C35" s="1" t="s">
        <v>124</v>
      </c>
      <c r="D35" s="2">
        <v>42688.798159722224</v>
      </c>
      <c r="E35" s="1">
        <v>292.97500000000002</v>
      </c>
      <c r="F35" s="1">
        <v>0.2</v>
      </c>
      <c r="G35" s="1">
        <v>20</v>
      </c>
      <c r="H35" s="1">
        <v>116</v>
      </c>
      <c r="I35" s="1">
        <v>-10.58</v>
      </c>
      <c r="J35" s="1">
        <v>-72.5</v>
      </c>
      <c r="K35" s="1">
        <v>1.1E-5</v>
      </c>
      <c r="L35" s="1">
        <v>-4.4000000000000004</v>
      </c>
      <c r="M35" s="1">
        <v>20</v>
      </c>
      <c r="N35" s="1">
        <v>0.29580124665500002</v>
      </c>
      <c r="O35" s="1">
        <v>-4.4000000000000004</v>
      </c>
      <c r="P35" s="1">
        <v>3.4638999999999998E-3</v>
      </c>
      <c r="Q35" s="1" t="s">
        <v>62</v>
      </c>
      <c r="R35" s="1">
        <v>2911</v>
      </c>
      <c r="S35" s="1">
        <v>618.86</v>
      </c>
      <c r="T35" s="1">
        <v>3577</v>
      </c>
      <c r="U35" s="1">
        <v>6252</v>
      </c>
      <c r="V35" s="1">
        <v>6252</v>
      </c>
      <c r="W35" s="1">
        <v>0.19750000000000001</v>
      </c>
      <c r="X35" s="1">
        <v>5</v>
      </c>
      <c r="Y35" s="1">
        <v>23</v>
      </c>
      <c r="Z35" s="1">
        <v>1</v>
      </c>
      <c r="AA35" s="1">
        <v>2.4799999999999999E-2</v>
      </c>
      <c r="AB35" s="1" t="s">
        <v>63</v>
      </c>
      <c r="AC35" s="1" t="s">
        <v>125</v>
      </c>
      <c r="AD35" s="1">
        <v>40</v>
      </c>
      <c r="AE35" s="1">
        <v>8.6920000000000002</v>
      </c>
      <c r="AF35" s="1">
        <v>200</v>
      </c>
      <c r="AG35" s="1" t="s">
        <v>65</v>
      </c>
      <c r="AH35" s="1" t="s">
        <v>126</v>
      </c>
      <c r="AI35" s="1">
        <v>2.8660000000000002E-6</v>
      </c>
      <c r="AJ35" s="1">
        <v>2</v>
      </c>
      <c r="AK35" s="1">
        <v>4.2399999999999999E-7</v>
      </c>
      <c r="AL35" s="1">
        <v>25.6557754257</v>
      </c>
      <c r="AM35" s="1">
        <v>393.64255977200003</v>
      </c>
      <c r="AN35" s="1">
        <v>0.63607691525099996</v>
      </c>
      <c r="AO35" s="1">
        <v>697836.70621099998</v>
      </c>
      <c r="AP35" s="1">
        <v>-1.6302177230600001E-3</v>
      </c>
      <c r="AQ35" s="1">
        <v>-2.2355540459300001E-3</v>
      </c>
      <c r="AR35" s="1">
        <v>0.25</v>
      </c>
      <c r="AS35" s="1">
        <v>3.6211314647800002E-3</v>
      </c>
      <c r="AT35" s="1">
        <v>0.285399886017</v>
      </c>
      <c r="AU35" s="1">
        <v>3.5920201593800001E-3</v>
      </c>
      <c r="AV35" s="1">
        <v>0.28771289175600001</v>
      </c>
      <c r="AW35" s="1">
        <v>4</v>
      </c>
      <c r="AX35" s="1">
        <v>3.4978877868E-3</v>
      </c>
      <c r="AY35" s="1">
        <v>0.29289884482299999</v>
      </c>
      <c r="AZ35" s="1">
        <v>3.5667995640200001</v>
      </c>
      <c r="BA35" s="1">
        <v>2.6205970013400002</v>
      </c>
      <c r="BB35" s="1">
        <v>2.8112591166400001</v>
      </c>
      <c r="BC35" s="1">
        <v>1.80247504219</v>
      </c>
      <c r="BD35" s="1">
        <v>-1.8624617076600001</v>
      </c>
      <c r="BE35" s="1">
        <v>1.62008342431</v>
      </c>
      <c r="BF35" s="1">
        <v>-2.5159745465399999</v>
      </c>
      <c r="BG35" s="1">
        <v>1.40771573146</v>
      </c>
    </row>
    <row r="36" spans="1:59" x14ac:dyDescent="0.3">
      <c r="A36" s="1" t="s">
        <v>135</v>
      </c>
      <c r="B36" s="1" t="s">
        <v>127</v>
      </c>
      <c r="C36" s="1" t="s">
        <v>128</v>
      </c>
      <c r="D36" s="2">
        <v>42688.805960648147</v>
      </c>
      <c r="E36" s="1">
        <v>292.97500000000002</v>
      </c>
      <c r="F36" s="1">
        <v>0.2</v>
      </c>
      <c r="G36" s="1">
        <v>20</v>
      </c>
      <c r="H36" s="1">
        <v>116</v>
      </c>
      <c r="I36" s="1">
        <v>-11.41</v>
      </c>
      <c r="J36" s="1">
        <v>107.1</v>
      </c>
      <c r="K36" s="1">
        <v>1.4E-5</v>
      </c>
      <c r="L36" s="1">
        <v>-4.4000000000000004</v>
      </c>
      <c r="M36" s="1">
        <v>20</v>
      </c>
      <c r="N36" s="1">
        <v>0.26884378430599998</v>
      </c>
      <c r="O36" s="1">
        <v>-4.4000000000000004</v>
      </c>
      <c r="P36" s="1">
        <v>3.8003999999999998E-3</v>
      </c>
      <c r="Q36" s="1" t="s">
        <v>62</v>
      </c>
      <c r="R36" s="1">
        <v>1466</v>
      </c>
      <c r="S36" s="1">
        <v>600.25</v>
      </c>
      <c r="T36" s="1">
        <v>3720</v>
      </c>
      <c r="U36" s="1">
        <v>5860</v>
      </c>
      <c r="V36" s="1">
        <v>5860</v>
      </c>
      <c r="W36" s="1">
        <v>0.19750000000000001</v>
      </c>
      <c r="X36" s="1">
        <v>5</v>
      </c>
      <c r="Y36" s="1">
        <v>23</v>
      </c>
      <c r="Z36" s="1">
        <v>1</v>
      </c>
      <c r="AA36" s="1">
        <v>2.1100000000000001E-2</v>
      </c>
      <c r="AB36" s="1" t="s">
        <v>63</v>
      </c>
      <c r="AC36" s="1" t="s">
        <v>129</v>
      </c>
      <c r="AD36" s="1">
        <v>40</v>
      </c>
      <c r="AE36" s="1">
        <v>8.6920000000000002</v>
      </c>
      <c r="AF36" s="1">
        <v>200</v>
      </c>
      <c r="AG36" s="1" t="s">
        <v>65</v>
      </c>
      <c r="AH36" s="1" t="s">
        <v>130</v>
      </c>
      <c r="AI36" s="1">
        <v>2.8650000000000001E-6</v>
      </c>
      <c r="AJ36" s="1">
        <v>2</v>
      </c>
      <c r="AK36" s="1">
        <v>4.2399999999999999E-7</v>
      </c>
      <c r="AL36" s="1">
        <v>25.6557754257</v>
      </c>
      <c r="AM36" s="1">
        <v>367.16753653400002</v>
      </c>
      <c r="AN36" s="1">
        <v>0.611691022965</v>
      </c>
      <c r="AO36" s="1">
        <v>698080.279232</v>
      </c>
      <c r="AP36" s="1">
        <v>-1.7260542797499999E-3</v>
      </c>
      <c r="AQ36" s="1">
        <v>-2.3313906026199999E-3</v>
      </c>
      <c r="AR36" s="1">
        <v>0.25</v>
      </c>
      <c r="AS36" s="1">
        <v>3.8808825892400001E-3</v>
      </c>
      <c r="AT36" s="1">
        <v>0.26629780302200001</v>
      </c>
      <c r="AU36" s="1">
        <v>3.83471709759E-3</v>
      </c>
      <c r="AV36" s="1">
        <v>0.26950371592</v>
      </c>
      <c r="AW36" s="1">
        <v>4</v>
      </c>
      <c r="AX36" s="1">
        <v>3.8376895247999999E-3</v>
      </c>
      <c r="AY36" s="1">
        <v>0.26620588909499998</v>
      </c>
      <c r="AZ36" s="1">
        <v>0.89490558808700005</v>
      </c>
      <c r="BA36" s="1">
        <v>-7.7513598283000001E-2</v>
      </c>
      <c r="BB36" s="1">
        <v>-0.24486920743599999</v>
      </c>
      <c r="BC36" s="1">
        <v>-1.22366655077</v>
      </c>
      <c r="BD36" s="1">
        <v>-0.32336153318299998</v>
      </c>
      <c r="BE36" s="1">
        <v>3.0658279139800002</v>
      </c>
      <c r="BF36" s="1">
        <v>-1.3877321036700001</v>
      </c>
      <c r="BG36" s="1">
        <v>2.09933252132</v>
      </c>
    </row>
    <row r="37" spans="1:59" x14ac:dyDescent="0.3">
      <c r="A37" s="1" t="s">
        <v>135</v>
      </c>
      <c r="B37" s="1" t="s">
        <v>131</v>
      </c>
      <c r="C37" s="1" t="s">
        <v>132</v>
      </c>
      <c r="D37" s="2">
        <v>42688.811666666668</v>
      </c>
      <c r="E37" s="1">
        <v>293.97500000000002</v>
      </c>
      <c r="F37" s="1">
        <v>0.2</v>
      </c>
      <c r="G37" s="1">
        <v>20</v>
      </c>
      <c r="H37" s="1">
        <v>116</v>
      </c>
      <c r="I37" s="1">
        <v>-10.91</v>
      </c>
      <c r="J37" s="1">
        <v>-72.5</v>
      </c>
      <c r="K37" s="1">
        <v>1.5999999999999999E-5</v>
      </c>
      <c r="L37" s="1">
        <v>-4.4000000000000004</v>
      </c>
      <c r="M37" s="1">
        <v>20</v>
      </c>
      <c r="N37" s="1">
        <v>0.28477378001699999</v>
      </c>
      <c r="O37" s="1">
        <v>-4.4000000000000004</v>
      </c>
      <c r="P37" s="1">
        <v>3.6026000000000001E-3</v>
      </c>
      <c r="Q37" s="1" t="s">
        <v>62</v>
      </c>
      <c r="R37" s="1">
        <v>954</v>
      </c>
      <c r="S37" s="1">
        <v>609.74</v>
      </c>
      <c r="T37" s="1">
        <v>3688</v>
      </c>
      <c r="U37" s="1">
        <v>6046</v>
      </c>
      <c r="V37" s="1">
        <v>6046</v>
      </c>
      <c r="W37" s="1">
        <v>0.19750000000000001</v>
      </c>
      <c r="X37" s="1">
        <v>5</v>
      </c>
      <c r="Y37" s="1">
        <v>23</v>
      </c>
      <c r="Z37" s="1">
        <v>1</v>
      </c>
      <c r="AA37" s="1">
        <v>2.1000000000000001E-2</v>
      </c>
      <c r="AB37" s="1" t="s">
        <v>63</v>
      </c>
      <c r="AC37" s="1" t="s">
        <v>133</v>
      </c>
      <c r="AD37" s="1">
        <v>40</v>
      </c>
      <c r="AE37" s="1">
        <v>8.6920000000000002</v>
      </c>
      <c r="AF37" s="1">
        <v>200</v>
      </c>
      <c r="AG37" s="1" t="s">
        <v>65</v>
      </c>
      <c r="AH37" s="1" t="s">
        <v>134</v>
      </c>
      <c r="AI37" s="1">
        <v>2.8660000000000002E-6</v>
      </c>
      <c r="AJ37" s="1">
        <v>2</v>
      </c>
      <c r="AK37" s="1">
        <v>4.2399999999999999E-7</v>
      </c>
      <c r="AL37" s="1">
        <v>25.6557754257</v>
      </c>
      <c r="AM37" s="1">
        <v>378.72283131299997</v>
      </c>
      <c r="AN37" s="1">
        <v>0.62112184097000001</v>
      </c>
      <c r="AO37" s="1">
        <v>697836.70621099998</v>
      </c>
      <c r="AP37" s="1">
        <v>-1.6889911649900001E-3</v>
      </c>
      <c r="AQ37" s="1">
        <v>-2.2943274878599999E-3</v>
      </c>
      <c r="AR37" s="1">
        <v>0.25</v>
      </c>
      <c r="AS37" s="1">
        <v>3.76378538924E-3</v>
      </c>
      <c r="AT37" s="1">
        <v>0.27458274062499999</v>
      </c>
      <c r="AU37" s="1">
        <v>3.7245646297000001E-3</v>
      </c>
      <c r="AV37" s="1">
        <v>0.27747417753499998</v>
      </c>
      <c r="AW37" s="1">
        <v>4</v>
      </c>
      <c r="AX37" s="1">
        <v>3.6379487112000002E-3</v>
      </c>
      <c r="AY37" s="1">
        <v>0.28197957968800003</v>
      </c>
      <c r="AZ37" s="1">
        <v>3.2746009756699999</v>
      </c>
      <c r="BA37" s="1">
        <v>2.3255313604399999</v>
      </c>
      <c r="BB37" s="1">
        <v>2.63073218109</v>
      </c>
      <c r="BC37" s="1">
        <v>1.6237194369300001</v>
      </c>
      <c r="BD37" s="1">
        <v>-2.3519527437200001</v>
      </c>
      <c r="BE37" s="1">
        <v>0.86594278812600001</v>
      </c>
      <c r="BF37" s="1">
        <v>-2.5115567310300002</v>
      </c>
      <c r="BG37" s="1">
        <v>1.1238831494399999</v>
      </c>
    </row>
    <row r="38" spans="1:59" x14ac:dyDescent="0.3">
      <c r="A38" s="1" t="s">
        <v>137</v>
      </c>
      <c r="B38" s="1" t="s">
        <v>60</v>
      </c>
      <c r="C38" s="1" t="s">
        <v>61</v>
      </c>
      <c r="D38" s="2">
        <v>43018.898518518516</v>
      </c>
      <c r="E38" s="1">
        <v>292.97500000000002</v>
      </c>
      <c r="F38" s="1">
        <v>0.2</v>
      </c>
      <c r="G38" s="1">
        <v>20</v>
      </c>
      <c r="H38" s="1">
        <v>116</v>
      </c>
      <c r="I38" s="1">
        <v>-11.13</v>
      </c>
      <c r="J38" s="1">
        <v>-73.3</v>
      </c>
      <c r="K38" s="1">
        <v>1.5E-5</v>
      </c>
      <c r="L38" s="1">
        <v>0</v>
      </c>
      <c r="M38" s="1">
        <v>20</v>
      </c>
      <c r="N38" s="1">
        <v>0.27765148461099998</v>
      </c>
      <c r="O38" s="1">
        <v>0</v>
      </c>
      <c r="P38" s="1">
        <v>3.7525000000000002E-3</v>
      </c>
      <c r="Q38" s="1" t="s">
        <v>62</v>
      </c>
      <c r="R38" s="1">
        <v>2340</v>
      </c>
      <c r="S38" s="1">
        <v>618.29999999999995</v>
      </c>
      <c r="T38" s="1">
        <v>3754</v>
      </c>
      <c r="U38" s="1">
        <v>6132</v>
      </c>
      <c r="V38" s="1">
        <v>6132</v>
      </c>
      <c r="W38" s="1">
        <v>0.19750000000000001</v>
      </c>
      <c r="X38" s="1">
        <v>5</v>
      </c>
      <c r="Y38" s="1">
        <v>23</v>
      </c>
      <c r="Z38" s="1">
        <v>1</v>
      </c>
      <c r="AA38" s="1">
        <v>7.4999999999999997E-3</v>
      </c>
      <c r="AB38" s="1" t="s">
        <v>63</v>
      </c>
      <c r="AC38" s="1" t="s">
        <v>64</v>
      </c>
      <c r="AD38" s="1">
        <v>40</v>
      </c>
      <c r="AE38" s="1">
        <v>8.6920000000000002</v>
      </c>
      <c r="AF38" s="1">
        <v>200</v>
      </c>
      <c r="AG38" s="1" t="s">
        <v>65</v>
      </c>
      <c r="AH38" s="1" t="s">
        <v>66</v>
      </c>
      <c r="AI38" s="1">
        <v>2.8679999999999999E-6</v>
      </c>
      <c r="AJ38" s="1">
        <v>2</v>
      </c>
      <c r="AK38" s="1">
        <v>4.2399999999999999E-7</v>
      </c>
      <c r="AL38" s="1">
        <v>25.6557754257</v>
      </c>
      <c r="AM38" s="1">
        <v>383.51361521299998</v>
      </c>
      <c r="AN38" s="1">
        <v>0.62027109043100004</v>
      </c>
      <c r="AO38" s="1">
        <v>697350.06973500003</v>
      </c>
      <c r="AP38" s="1">
        <v>-1.69233461461E-3</v>
      </c>
      <c r="AQ38" s="1">
        <v>-2.2976709374799998E-3</v>
      </c>
      <c r="AR38" s="1">
        <v>0.25</v>
      </c>
      <c r="AS38" s="1">
        <v>3.7193625490100002E-3</v>
      </c>
      <c r="AT38" s="1">
        <v>0.277862266365</v>
      </c>
      <c r="AU38" s="1">
        <v>3.6801049763000001E-3</v>
      </c>
      <c r="AV38" s="1">
        <v>0.28082636608400002</v>
      </c>
      <c r="AW38" s="1">
        <v>4</v>
      </c>
      <c r="AX38" s="1">
        <v>3.7525000000000002E-3</v>
      </c>
      <c r="AY38" s="1">
        <v>0.27765148461099998</v>
      </c>
      <c r="AZ38" s="1">
        <v>-1.96719996226</v>
      </c>
      <c r="BA38" s="1">
        <v>-1.96719996226</v>
      </c>
      <c r="BB38" s="1">
        <v>-1.13054964109</v>
      </c>
      <c r="BC38" s="1">
        <v>-1.13054964109</v>
      </c>
      <c r="BD38" s="1">
        <v>-4.9862708042800001</v>
      </c>
      <c r="BE38" s="1">
        <v>-1.0069493190700001</v>
      </c>
      <c r="BF38" s="1">
        <v>-3.82858128744</v>
      </c>
      <c r="BG38" s="1">
        <v>0.38532434707199997</v>
      </c>
    </row>
    <row r="39" spans="1:59" x14ac:dyDescent="0.3">
      <c r="A39" s="1" t="s">
        <v>137</v>
      </c>
      <c r="B39" s="1" t="s">
        <v>67</v>
      </c>
      <c r="C39" s="1" t="s">
        <v>68</v>
      </c>
      <c r="D39" s="2">
        <v>43018.888229166667</v>
      </c>
      <c r="E39" s="1">
        <v>292.42500000000001</v>
      </c>
      <c r="F39" s="1">
        <v>0.2</v>
      </c>
      <c r="G39" s="1">
        <v>20</v>
      </c>
      <c r="H39" s="1">
        <v>115</v>
      </c>
      <c r="I39" s="1">
        <v>-11.15</v>
      </c>
      <c r="J39" s="1">
        <v>107.2</v>
      </c>
      <c r="K39" s="1">
        <v>1.7E-5</v>
      </c>
      <c r="L39" s="1">
        <v>0</v>
      </c>
      <c r="M39" s="1">
        <v>20</v>
      </c>
      <c r="N39" s="1">
        <v>0.27701290391599998</v>
      </c>
      <c r="O39" s="1">
        <v>0</v>
      </c>
      <c r="P39" s="1">
        <v>3.6898999999999999E-3</v>
      </c>
      <c r="Q39" s="1" t="s">
        <v>62</v>
      </c>
      <c r="R39" s="1">
        <v>2338</v>
      </c>
      <c r="S39" s="1">
        <v>605.91999999999996</v>
      </c>
      <c r="T39" s="1">
        <v>3729</v>
      </c>
      <c r="U39" s="1">
        <v>5971</v>
      </c>
      <c r="V39" s="1">
        <v>5971</v>
      </c>
      <c r="W39" s="1">
        <v>0.19750000000000001</v>
      </c>
      <c r="X39" s="1">
        <v>5</v>
      </c>
      <c r="Y39" s="1">
        <v>23</v>
      </c>
      <c r="Z39" s="1">
        <v>1</v>
      </c>
      <c r="AA39" s="1">
        <v>2.12E-2</v>
      </c>
      <c r="AB39" s="1" t="s">
        <v>63</v>
      </c>
      <c r="AC39" s="1" t="s">
        <v>69</v>
      </c>
      <c r="AD39" s="1">
        <v>40</v>
      </c>
      <c r="AE39" s="1">
        <v>8.6920000000000002</v>
      </c>
      <c r="AF39" s="1">
        <v>200</v>
      </c>
      <c r="AG39" s="1" t="s">
        <v>65</v>
      </c>
      <c r="AH39" s="1" t="s">
        <v>70</v>
      </c>
      <c r="AI39" s="1">
        <v>2.8700000000000001E-6</v>
      </c>
      <c r="AJ39" s="1">
        <v>2</v>
      </c>
      <c r="AK39" s="1">
        <v>4.2399999999999999E-7</v>
      </c>
      <c r="AL39" s="1">
        <v>25.6557754257</v>
      </c>
      <c r="AM39" s="1">
        <v>372.98436288699997</v>
      </c>
      <c r="AN39" s="1">
        <v>0.61556701030899996</v>
      </c>
      <c r="AO39" s="1">
        <v>696864.11149799998</v>
      </c>
      <c r="AP39" s="1">
        <v>-1.7108216494799999E-3</v>
      </c>
      <c r="AQ39" s="1">
        <v>-2.3161579723500001E-3</v>
      </c>
      <c r="AR39" s="1">
        <v>0.25</v>
      </c>
      <c r="AS39" s="1">
        <v>3.82702611125E-3</v>
      </c>
      <c r="AT39" s="1">
        <v>0.27004532429599998</v>
      </c>
      <c r="AU39" s="1">
        <v>3.78380856865E-3</v>
      </c>
      <c r="AV39" s="1">
        <v>0.27312970213799997</v>
      </c>
      <c r="AW39" s="1">
        <v>4</v>
      </c>
      <c r="AX39" s="1">
        <v>3.6898999999999999E-3</v>
      </c>
      <c r="AY39" s="1">
        <v>0.27701290391599998</v>
      </c>
      <c r="AZ39" s="1">
        <v>2.4818530575</v>
      </c>
      <c r="BA39" s="1">
        <v>2.4818530575</v>
      </c>
      <c r="BB39" s="1">
        <v>1.4217427647700001</v>
      </c>
      <c r="BC39" s="1">
        <v>1.4217427647700001</v>
      </c>
      <c r="BD39" s="1">
        <v>-3.3009069495399999</v>
      </c>
      <c r="BE39" s="1">
        <v>0.85916106510599999</v>
      </c>
      <c r="BF39" s="1">
        <v>-3.8061973354599998</v>
      </c>
      <c r="BG39" s="1">
        <v>0.84003713172200001</v>
      </c>
    </row>
    <row r="40" spans="1:59" x14ac:dyDescent="0.3">
      <c r="A40" s="1" t="s">
        <v>137</v>
      </c>
      <c r="B40" s="1" t="s">
        <v>71</v>
      </c>
      <c r="C40" s="1" t="s">
        <v>72</v>
      </c>
      <c r="D40" s="2">
        <v>43018.890405092592</v>
      </c>
      <c r="E40" s="1">
        <v>293.52499999999998</v>
      </c>
      <c r="F40" s="1">
        <v>0.2</v>
      </c>
      <c r="G40" s="1">
        <v>20</v>
      </c>
      <c r="H40" s="1">
        <v>116</v>
      </c>
      <c r="I40" s="1">
        <v>-11.04</v>
      </c>
      <c r="J40" s="1">
        <v>-72.7</v>
      </c>
      <c r="K40" s="1">
        <v>1.9000000000000001E-5</v>
      </c>
      <c r="L40" s="1">
        <v>0</v>
      </c>
      <c r="M40" s="1">
        <v>20</v>
      </c>
      <c r="N40" s="1">
        <v>0.280543363795</v>
      </c>
      <c r="O40" s="1">
        <v>0</v>
      </c>
      <c r="P40" s="1">
        <v>3.7008000000000002E-3</v>
      </c>
      <c r="Q40" s="1" t="s">
        <v>62</v>
      </c>
      <c r="R40" s="1">
        <v>2342</v>
      </c>
      <c r="S40" s="1">
        <v>613.32000000000005</v>
      </c>
      <c r="T40" s="1">
        <v>3831</v>
      </c>
      <c r="U40" s="1">
        <v>6158</v>
      </c>
      <c r="V40" s="1">
        <v>6158</v>
      </c>
      <c r="W40" s="1">
        <v>0.19750000000000001</v>
      </c>
      <c r="X40" s="1">
        <v>5</v>
      </c>
      <c r="Y40" s="1">
        <v>23</v>
      </c>
      <c r="Z40" s="1">
        <v>1</v>
      </c>
      <c r="AA40" s="1">
        <v>2.75E-2</v>
      </c>
      <c r="AB40" s="1" t="s">
        <v>63</v>
      </c>
      <c r="AC40" s="1" t="s">
        <v>73</v>
      </c>
      <c r="AD40" s="1">
        <v>40</v>
      </c>
      <c r="AE40" s="1">
        <v>8.6920000000000002</v>
      </c>
      <c r="AF40" s="1">
        <v>200</v>
      </c>
      <c r="AG40" s="1" t="s">
        <v>65</v>
      </c>
      <c r="AH40" s="1" t="s">
        <v>74</v>
      </c>
      <c r="AI40" s="1">
        <v>2.8700000000000001E-6</v>
      </c>
      <c r="AJ40" s="1">
        <v>2</v>
      </c>
      <c r="AK40" s="1">
        <v>4.2399999999999999E-7</v>
      </c>
      <c r="AL40" s="1">
        <v>25.6557754257</v>
      </c>
      <c r="AM40" s="1">
        <v>378.09836420099998</v>
      </c>
      <c r="AN40" s="1">
        <v>0.61647812593899998</v>
      </c>
      <c r="AO40" s="1">
        <v>696864.11149799998</v>
      </c>
      <c r="AP40" s="1">
        <v>-1.7072409650600001E-3</v>
      </c>
      <c r="AQ40" s="1">
        <v>-2.3125772879299998E-3</v>
      </c>
      <c r="AR40" s="1">
        <v>0.25</v>
      </c>
      <c r="AS40" s="1">
        <v>3.77526334681E-3</v>
      </c>
      <c r="AT40" s="1">
        <v>0.27374792494299999</v>
      </c>
      <c r="AU40" s="1">
        <v>3.7331683091899998E-3</v>
      </c>
      <c r="AV40" s="1">
        <v>0.276834694208</v>
      </c>
      <c r="AW40" s="1">
        <v>4</v>
      </c>
      <c r="AX40" s="1">
        <v>3.7008000000000002E-3</v>
      </c>
      <c r="AY40" s="1">
        <v>0.280543363795</v>
      </c>
      <c r="AZ40" s="1">
        <v>0.86704660788099996</v>
      </c>
      <c r="BA40" s="1">
        <v>0.86704660788099996</v>
      </c>
      <c r="BB40" s="1">
        <v>1.3396693639699999</v>
      </c>
      <c r="BC40" s="1">
        <v>1.3396693639699999</v>
      </c>
      <c r="BD40" s="1">
        <v>-4.8162843222799996</v>
      </c>
      <c r="BE40" s="1">
        <v>-0.65182611617300001</v>
      </c>
      <c r="BF40" s="1">
        <v>-4.0454964060699998</v>
      </c>
      <c r="BG40" s="1">
        <v>0.60768020333899997</v>
      </c>
    </row>
    <row r="41" spans="1:59" x14ac:dyDescent="0.3">
      <c r="A41" s="1" t="s">
        <v>137</v>
      </c>
      <c r="B41" s="1" t="s">
        <v>75</v>
      </c>
      <c r="C41" s="1" t="s">
        <v>76</v>
      </c>
      <c r="D41" s="2">
        <v>43018.891736111109</v>
      </c>
      <c r="E41" s="1">
        <v>291.97500000000002</v>
      </c>
      <c r="F41" s="1">
        <v>0.2</v>
      </c>
      <c r="G41" s="1">
        <v>20</v>
      </c>
      <c r="H41" s="1">
        <v>115</v>
      </c>
      <c r="I41" s="1">
        <v>-11.15</v>
      </c>
      <c r="J41" s="1">
        <v>-72.8</v>
      </c>
      <c r="K41" s="1">
        <v>1.5E-5</v>
      </c>
      <c r="L41" s="1">
        <v>0</v>
      </c>
      <c r="M41" s="1">
        <v>20</v>
      </c>
      <c r="N41" s="1">
        <v>0.27701290391599998</v>
      </c>
      <c r="O41" s="1">
        <v>0</v>
      </c>
      <c r="P41" s="1">
        <v>3.7006999999999999E-3</v>
      </c>
      <c r="Q41" s="1" t="s">
        <v>62</v>
      </c>
      <c r="R41" s="1">
        <v>2343</v>
      </c>
      <c r="S41" s="1">
        <v>607.6</v>
      </c>
      <c r="T41" s="1">
        <v>3764</v>
      </c>
      <c r="U41" s="1">
        <v>5910</v>
      </c>
      <c r="V41" s="1">
        <v>5910</v>
      </c>
      <c r="W41" s="1">
        <v>0.19750000000000001</v>
      </c>
      <c r="X41" s="1">
        <v>5</v>
      </c>
      <c r="Y41" s="1">
        <v>23</v>
      </c>
      <c r="Z41" s="1">
        <v>1</v>
      </c>
      <c r="AA41" s="1">
        <v>5.4999999999999997E-3</v>
      </c>
      <c r="AB41" s="1" t="s">
        <v>63</v>
      </c>
      <c r="AC41" s="1" t="s">
        <v>77</v>
      </c>
      <c r="AD41" s="1">
        <v>40</v>
      </c>
      <c r="AE41" s="1">
        <v>8.6920000000000002</v>
      </c>
      <c r="AF41" s="1">
        <v>200</v>
      </c>
      <c r="AG41" s="1" t="s">
        <v>65</v>
      </c>
      <c r="AH41" s="1" t="s">
        <v>78</v>
      </c>
      <c r="AI41" s="1">
        <v>2.8700000000000001E-6</v>
      </c>
      <c r="AJ41" s="1">
        <v>2</v>
      </c>
      <c r="AK41" s="1">
        <v>4.2399999999999999E-7</v>
      </c>
      <c r="AL41" s="1">
        <v>25.6557754257</v>
      </c>
      <c r="AM41" s="1">
        <v>371.19247467399998</v>
      </c>
      <c r="AN41" s="1">
        <v>0.61091585693600003</v>
      </c>
      <c r="AO41" s="1">
        <v>696864.11149799998</v>
      </c>
      <c r="AP41" s="1">
        <v>-1.7291006822400001E-3</v>
      </c>
      <c r="AQ41" s="1">
        <v>-2.3344370051100001E-3</v>
      </c>
      <c r="AR41" s="1">
        <v>0.25</v>
      </c>
      <c r="AS41" s="1">
        <v>3.8455006317299999E-3</v>
      </c>
      <c r="AT41" s="1">
        <v>0.26874797491199998</v>
      </c>
      <c r="AU41" s="1">
        <v>3.7992894359599998E-3</v>
      </c>
      <c r="AV41" s="1">
        <v>0.27201678754000003</v>
      </c>
      <c r="AW41" s="1">
        <v>4</v>
      </c>
      <c r="AX41" s="1">
        <v>3.7006999999999999E-3</v>
      </c>
      <c r="AY41" s="1">
        <v>0.27701290391599998</v>
      </c>
      <c r="AZ41" s="1">
        <v>2.59494407095</v>
      </c>
      <c r="BA41" s="1">
        <v>2.59494407095</v>
      </c>
      <c r="BB41" s="1">
        <v>1.8366941327299999</v>
      </c>
      <c r="BC41" s="1">
        <v>1.8366941327299999</v>
      </c>
      <c r="BD41" s="1">
        <v>-1.3344600577200001</v>
      </c>
      <c r="BE41" s="1">
        <v>2.90744103238</v>
      </c>
      <c r="BF41" s="1">
        <v>-2.4921252063499999</v>
      </c>
      <c r="BG41" s="1">
        <v>2.1144094827500002</v>
      </c>
    </row>
    <row r="42" spans="1:59" x14ac:dyDescent="0.3">
      <c r="A42" s="1" t="s">
        <v>137</v>
      </c>
      <c r="B42" s="1" t="s">
        <v>79</v>
      </c>
      <c r="C42" s="1" t="s">
        <v>80</v>
      </c>
      <c r="D42" s="2">
        <v>43018.864594907405</v>
      </c>
      <c r="E42" s="1">
        <v>292.52499999999998</v>
      </c>
      <c r="F42" s="1">
        <v>0.2</v>
      </c>
      <c r="G42" s="1">
        <v>20</v>
      </c>
      <c r="H42" s="1">
        <v>116</v>
      </c>
      <c r="I42" s="1">
        <v>-10.84</v>
      </c>
      <c r="J42" s="1">
        <v>-72.599999999999994</v>
      </c>
      <c r="K42" s="1">
        <v>1.4E-5</v>
      </c>
      <c r="L42" s="1">
        <v>-0.2</v>
      </c>
      <c r="M42" s="1">
        <v>20</v>
      </c>
      <c r="N42" s="1">
        <v>0.287078058202</v>
      </c>
      <c r="O42" s="1">
        <v>-0.2</v>
      </c>
      <c r="P42" s="1">
        <v>3.5677E-3</v>
      </c>
      <c r="Q42" s="1" t="s">
        <v>62</v>
      </c>
      <c r="R42" s="1">
        <v>831</v>
      </c>
      <c r="S42" s="1">
        <v>619.12</v>
      </c>
      <c r="T42" s="1">
        <v>3646</v>
      </c>
      <c r="U42" s="1">
        <v>6239</v>
      </c>
      <c r="V42" s="1">
        <v>6239</v>
      </c>
      <c r="W42" s="1">
        <v>0.19750000000000001</v>
      </c>
      <c r="X42" s="1">
        <v>5</v>
      </c>
      <c r="Y42" s="1">
        <v>23</v>
      </c>
      <c r="Z42" s="1">
        <v>1</v>
      </c>
      <c r="AA42" s="1">
        <v>1.95E-2</v>
      </c>
      <c r="AB42" s="1" t="s">
        <v>63</v>
      </c>
      <c r="AC42" s="1" t="s">
        <v>81</v>
      </c>
      <c r="AD42" s="1">
        <v>40</v>
      </c>
      <c r="AE42" s="1">
        <v>8.6920000000000002</v>
      </c>
      <c r="AF42" s="1">
        <v>200</v>
      </c>
      <c r="AG42" s="1" t="s">
        <v>65</v>
      </c>
      <c r="AH42" s="1" t="s">
        <v>82</v>
      </c>
      <c r="AI42" s="1">
        <v>2.869E-6</v>
      </c>
      <c r="AJ42" s="1">
        <v>2</v>
      </c>
      <c r="AK42" s="1">
        <v>4.2399999999999999E-7</v>
      </c>
      <c r="AL42" s="1">
        <v>25.6557754257</v>
      </c>
      <c r="AM42" s="1">
        <v>390.76273950400002</v>
      </c>
      <c r="AN42" s="1">
        <v>0.63115832068800004</v>
      </c>
      <c r="AO42" s="1">
        <v>697107.00592499995</v>
      </c>
      <c r="AP42" s="1">
        <v>-1.6495477996999999E-3</v>
      </c>
      <c r="AQ42" s="1">
        <v>-2.2548841225700001E-3</v>
      </c>
      <c r="AR42" s="1">
        <v>0.25</v>
      </c>
      <c r="AS42" s="1">
        <v>3.6516366388200001E-3</v>
      </c>
      <c r="AT42" s="1">
        <v>0.283015702142</v>
      </c>
      <c r="AU42" s="1">
        <v>3.6194000887599998E-3</v>
      </c>
      <c r="AV42" s="1">
        <v>0.28553640989000001</v>
      </c>
      <c r="AW42" s="1">
        <v>4</v>
      </c>
      <c r="AX42" s="1">
        <v>3.5692911941999999E-3</v>
      </c>
      <c r="AY42" s="1">
        <v>0.286950021389</v>
      </c>
      <c r="AZ42" s="1">
        <v>1.42841596663</v>
      </c>
      <c r="BA42" s="1">
        <v>1.3844530401499999</v>
      </c>
      <c r="BB42" s="1">
        <v>0.53991304045300004</v>
      </c>
      <c r="BC42" s="1">
        <v>0.495072239237</v>
      </c>
      <c r="BD42" s="1">
        <v>-0.93109352858299999</v>
      </c>
      <c r="BE42" s="1">
        <v>3.1401972982399999</v>
      </c>
      <c r="BF42" s="1">
        <v>-1.75134156102</v>
      </c>
      <c r="BG42" s="1">
        <v>2.5150871454499999</v>
      </c>
    </row>
    <row r="43" spans="1:59" x14ac:dyDescent="0.3">
      <c r="A43" s="1" t="s">
        <v>137</v>
      </c>
      <c r="B43" s="1" t="s">
        <v>83</v>
      </c>
      <c r="C43" s="1" t="s">
        <v>84</v>
      </c>
      <c r="D43" s="2">
        <v>43018.893090277779</v>
      </c>
      <c r="E43" s="1">
        <v>292.42500000000001</v>
      </c>
      <c r="F43" s="1">
        <v>0.2</v>
      </c>
      <c r="G43" s="1">
        <v>20</v>
      </c>
      <c r="H43" s="1">
        <v>115</v>
      </c>
      <c r="I43" s="1">
        <v>-10.87</v>
      </c>
      <c r="J43" s="1">
        <v>107.4</v>
      </c>
      <c r="K43" s="1">
        <v>1.5E-5</v>
      </c>
      <c r="L43" s="1">
        <v>0</v>
      </c>
      <c r="M43" s="1">
        <v>20</v>
      </c>
      <c r="N43" s="1">
        <v>0.28608823606299999</v>
      </c>
      <c r="O43" s="1">
        <v>0</v>
      </c>
      <c r="P43" s="1">
        <v>3.6156999999999999E-3</v>
      </c>
      <c r="Q43" s="1" t="s">
        <v>62</v>
      </c>
      <c r="R43" s="1">
        <v>2345</v>
      </c>
      <c r="S43" s="1">
        <v>620.79</v>
      </c>
      <c r="T43" s="1">
        <v>3746</v>
      </c>
      <c r="U43" s="1">
        <v>6277</v>
      </c>
      <c r="V43" s="1">
        <v>6277</v>
      </c>
      <c r="W43" s="1">
        <v>0.19750000000000001</v>
      </c>
      <c r="X43" s="1">
        <v>5</v>
      </c>
      <c r="Y43" s="1">
        <v>23</v>
      </c>
      <c r="Z43" s="1">
        <v>1</v>
      </c>
      <c r="AA43" s="1">
        <v>2.2599999999999999E-2</v>
      </c>
      <c r="AB43" s="1" t="s">
        <v>63</v>
      </c>
      <c r="AC43" s="1" t="s">
        <v>85</v>
      </c>
      <c r="AD43" s="1">
        <v>40</v>
      </c>
      <c r="AE43" s="1">
        <v>8.6920000000000002</v>
      </c>
      <c r="AF43" s="1">
        <v>200</v>
      </c>
      <c r="AG43" s="1" t="s">
        <v>65</v>
      </c>
      <c r="AH43" s="1" t="s">
        <v>86</v>
      </c>
      <c r="AI43" s="1">
        <v>2.869E-6</v>
      </c>
      <c r="AJ43" s="1">
        <v>2</v>
      </c>
      <c r="AK43" s="1">
        <v>4.2399999999999999E-7</v>
      </c>
      <c r="AL43" s="1">
        <v>25.6557754257</v>
      </c>
      <c r="AM43" s="1">
        <v>388.77569889300003</v>
      </c>
      <c r="AN43" s="1">
        <v>0.62625960291299998</v>
      </c>
      <c r="AO43" s="1">
        <v>697107.00592499995</v>
      </c>
      <c r="AP43" s="1">
        <v>-1.66879976055E-3</v>
      </c>
      <c r="AQ43" s="1">
        <v>-2.27413608342E-3</v>
      </c>
      <c r="AR43" s="1">
        <v>0.25</v>
      </c>
      <c r="AS43" s="1">
        <v>3.6703002289599999E-3</v>
      </c>
      <c r="AT43" s="1">
        <v>0.281576558546</v>
      </c>
      <c r="AU43" s="1">
        <v>3.6350333369199999E-3</v>
      </c>
      <c r="AV43" s="1">
        <v>0.28430839871699998</v>
      </c>
      <c r="AW43" s="1">
        <v>4</v>
      </c>
      <c r="AX43" s="1">
        <v>3.6156999999999999E-3</v>
      </c>
      <c r="AY43" s="1">
        <v>0.28608823606299999</v>
      </c>
      <c r="AZ43" s="1">
        <v>0.53186133736399999</v>
      </c>
      <c r="BA43" s="1">
        <v>0.53186133736399999</v>
      </c>
      <c r="BB43" s="1">
        <v>0.62602348501100002</v>
      </c>
      <c r="BC43" s="1">
        <v>0.62602348501100002</v>
      </c>
      <c r="BD43" s="1">
        <v>-4.2558069118299997</v>
      </c>
      <c r="BE43" s="1">
        <v>-0.20042806557000001</v>
      </c>
      <c r="BF43" s="1">
        <v>-3.7763352514599999</v>
      </c>
      <c r="BG43" s="1">
        <v>0.670474414204</v>
      </c>
    </row>
    <row r="44" spans="1:59" x14ac:dyDescent="0.3">
      <c r="A44" s="1" t="s">
        <v>137</v>
      </c>
      <c r="B44" s="1" t="s">
        <v>87</v>
      </c>
      <c r="C44" s="1" t="s">
        <v>88</v>
      </c>
      <c r="D44" s="2">
        <v>43018.89403935185</v>
      </c>
      <c r="E44" s="1">
        <v>291.97500000000002</v>
      </c>
      <c r="F44" s="1">
        <v>0.2</v>
      </c>
      <c r="G44" s="1">
        <v>20</v>
      </c>
      <c r="H44" s="1">
        <v>115</v>
      </c>
      <c r="I44" s="1">
        <v>-10.37</v>
      </c>
      <c r="J44" s="1">
        <v>-72.599999999999994</v>
      </c>
      <c r="K44" s="1">
        <v>1.5999999999999999E-5</v>
      </c>
      <c r="L44" s="1">
        <v>0</v>
      </c>
      <c r="M44" s="1">
        <v>20</v>
      </c>
      <c r="N44" s="1">
        <v>0.30304002977900002</v>
      </c>
      <c r="O44" s="1">
        <v>0</v>
      </c>
      <c r="P44" s="1">
        <v>3.4207E-3</v>
      </c>
      <c r="Q44" s="1" t="s">
        <v>62</v>
      </c>
      <c r="R44" s="1">
        <v>2347</v>
      </c>
      <c r="S44" s="1">
        <v>639.15</v>
      </c>
      <c r="T44" s="1">
        <v>3957</v>
      </c>
      <c r="U44" s="1">
        <v>6665</v>
      </c>
      <c r="V44" s="1">
        <v>6665</v>
      </c>
      <c r="W44" s="1">
        <v>0.19750000000000001</v>
      </c>
      <c r="X44" s="1">
        <v>5</v>
      </c>
      <c r="Y44" s="1">
        <v>23</v>
      </c>
      <c r="Z44" s="1">
        <v>1</v>
      </c>
      <c r="AA44" s="1">
        <v>2.4199999999999999E-2</v>
      </c>
      <c r="AB44" s="1" t="s">
        <v>63</v>
      </c>
      <c r="AC44" s="1" t="s">
        <v>89</v>
      </c>
      <c r="AD44" s="1">
        <v>40</v>
      </c>
      <c r="AE44" s="1">
        <v>8.6920000000000002</v>
      </c>
      <c r="AF44" s="1">
        <v>200</v>
      </c>
      <c r="AG44" s="1" t="s">
        <v>65</v>
      </c>
      <c r="AH44" s="1" t="s">
        <v>90</v>
      </c>
      <c r="AI44" s="1">
        <v>2.869E-6</v>
      </c>
      <c r="AJ44" s="1">
        <v>2</v>
      </c>
      <c r="AK44" s="1">
        <v>4.2399999999999999E-7</v>
      </c>
      <c r="AL44" s="1">
        <v>25.6557754257</v>
      </c>
      <c r="AM44" s="1">
        <v>401.04827245299998</v>
      </c>
      <c r="AN44" s="1">
        <v>0.62747128601000002</v>
      </c>
      <c r="AO44" s="1">
        <v>697107.00592499995</v>
      </c>
      <c r="AP44" s="1">
        <v>-1.66403784598E-3</v>
      </c>
      <c r="AQ44" s="1">
        <v>-2.2693741688500002E-3</v>
      </c>
      <c r="AR44" s="1">
        <v>0.25</v>
      </c>
      <c r="AS44" s="1">
        <v>3.5579844988000001E-3</v>
      </c>
      <c r="AT44" s="1">
        <v>0.29046515173199999</v>
      </c>
      <c r="AU44" s="1">
        <v>3.5244849460000002E-3</v>
      </c>
      <c r="AV44" s="1">
        <v>0.29322596723599997</v>
      </c>
      <c r="AW44" s="1">
        <v>4</v>
      </c>
      <c r="AX44" s="1">
        <v>3.4207E-3</v>
      </c>
      <c r="AY44" s="1">
        <v>0.30304002977900002</v>
      </c>
      <c r="AZ44" s="1">
        <v>2.9446840486800001</v>
      </c>
      <c r="BA44" s="1">
        <v>2.9446840486800001</v>
      </c>
      <c r="BB44" s="1">
        <v>3.3469281847299999</v>
      </c>
      <c r="BC44" s="1">
        <v>3.3469281847299999</v>
      </c>
      <c r="BD44" s="1">
        <v>-4.30417500214</v>
      </c>
      <c r="BE44" s="1">
        <v>-0.35362565568999998</v>
      </c>
      <c r="BF44" s="1">
        <v>-4.0019653586199997</v>
      </c>
      <c r="BG44" s="1">
        <v>0.57034606406699995</v>
      </c>
    </row>
    <row r="45" spans="1:59" x14ac:dyDescent="0.3">
      <c r="A45" s="1" t="s">
        <v>137</v>
      </c>
      <c r="B45" s="1" t="s">
        <v>91</v>
      </c>
      <c r="C45" s="1" t="s">
        <v>136</v>
      </c>
      <c r="D45" s="2">
        <v>43018.895520833335</v>
      </c>
      <c r="E45" s="1">
        <v>292.97500000000002</v>
      </c>
      <c r="F45" s="1">
        <v>0.2</v>
      </c>
      <c r="G45" s="1">
        <v>20</v>
      </c>
      <c r="H45" s="1">
        <v>116</v>
      </c>
      <c r="I45" s="1">
        <v>-10.94</v>
      </c>
      <c r="J45" s="1">
        <v>-72.5</v>
      </c>
      <c r="K45" s="1">
        <v>1.5999999999999999E-5</v>
      </c>
      <c r="L45" s="1">
        <v>0</v>
      </c>
      <c r="M45" s="1">
        <v>20</v>
      </c>
      <c r="N45" s="1">
        <v>0.28379190284400002</v>
      </c>
      <c r="O45" s="1">
        <v>0</v>
      </c>
      <c r="P45" s="1">
        <v>3.6487999999999998E-3</v>
      </c>
      <c r="Q45" s="1" t="s">
        <v>62</v>
      </c>
      <c r="R45" s="1">
        <v>2493</v>
      </c>
      <c r="S45" s="1">
        <v>621.46</v>
      </c>
      <c r="T45" s="1">
        <v>3761</v>
      </c>
      <c r="U45" s="1">
        <v>6296</v>
      </c>
      <c r="V45" s="1">
        <v>6296</v>
      </c>
      <c r="W45" s="1">
        <v>0.19750000000000001</v>
      </c>
      <c r="X45" s="1">
        <v>5</v>
      </c>
      <c r="Y45" s="1">
        <v>23</v>
      </c>
      <c r="Z45" s="1">
        <v>1</v>
      </c>
      <c r="AA45" s="1">
        <v>2.3400000000000001E-2</v>
      </c>
      <c r="AB45" s="1" t="s">
        <v>63</v>
      </c>
      <c r="AC45" s="1" t="s">
        <v>93</v>
      </c>
      <c r="AD45" s="1">
        <v>40</v>
      </c>
      <c r="AE45" s="1">
        <v>8.6920000000000002</v>
      </c>
      <c r="AF45" s="1">
        <v>200</v>
      </c>
      <c r="AG45" s="1" t="s">
        <v>65</v>
      </c>
      <c r="AH45" s="1" t="s">
        <v>94</v>
      </c>
      <c r="AI45" s="1">
        <v>2.8729999999999999E-6</v>
      </c>
      <c r="AJ45" s="1">
        <v>2</v>
      </c>
      <c r="AK45" s="1">
        <v>4.2399999999999999E-7</v>
      </c>
      <c r="AL45" s="1">
        <v>25.6557754257</v>
      </c>
      <c r="AM45" s="1">
        <v>389.05361042099997</v>
      </c>
      <c r="AN45" s="1">
        <v>0.62603161976699995</v>
      </c>
      <c r="AO45" s="1">
        <v>696136.44274299999</v>
      </c>
      <c r="AP45" s="1">
        <v>-1.6696957343100001E-3</v>
      </c>
      <c r="AQ45" s="1">
        <v>-2.2750320571800001E-3</v>
      </c>
      <c r="AR45" s="1">
        <v>0.25</v>
      </c>
      <c r="AS45" s="1">
        <v>3.67279196279E-3</v>
      </c>
      <c r="AT45" s="1">
        <v>0.28138552844100001</v>
      </c>
      <c r="AU45" s="1">
        <v>3.63737257517E-3</v>
      </c>
      <c r="AV45" s="1">
        <v>0.28412555654999999</v>
      </c>
      <c r="AW45" s="1">
        <v>4</v>
      </c>
      <c r="AX45" s="1">
        <v>3.6487999999999998E-3</v>
      </c>
      <c r="AY45" s="1">
        <v>0.28379190284400002</v>
      </c>
      <c r="AZ45" s="1">
        <v>-0.31416701454200002</v>
      </c>
      <c r="BA45" s="1">
        <v>-0.31416701454200002</v>
      </c>
      <c r="BB45" s="1">
        <v>-0.11743178272300001</v>
      </c>
      <c r="BC45" s="1">
        <v>-0.11743178272300001</v>
      </c>
      <c r="BD45" s="1">
        <v>-4.6132200244000003</v>
      </c>
      <c r="BE45" s="1">
        <v>-0.53702958925199995</v>
      </c>
      <c r="BF45" s="1">
        <v>-3.9873286866700002</v>
      </c>
      <c r="BG45" s="1">
        <v>0.43680183216399998</v>
      </c>
    </row>
    <row r="46" spans="1:59" x14ac:dyDescent="0.3">
      <c r="A46" s="1" t="s">
        <v>137</v>
      </c>
      <c r="B46" s="1" t="s">
        <v>95</v>
      </c>
      <c r="C46" s="1" t="s">
        <v>96</v>
      </c>
      <c r="D46" s="2">
        <v>43018.896747685183</v>
      </c>
      <c r="E46" s="1">
        <v>292.375</v>
      </c>
      <c r="F46" s="1">
        <v>0.2</v>
      </c>
      <c r="G46" s="1">
        <v>20</v>
      </c>
      <c r="H46" s="1">
        <v>115</v>
      </c>
      <c r="I46" s="1">
        <v>-11.21</v>
      </c>
      <c r="J46" s="1">
        <v>107.2</v>
      </c>
      <c r="K46" s="1">
        <v>1.5E-5</v>
      </c>
      <c r="L46" s="1">
        <v>0</v>
      </c>
      <c r="M46" s="1">
        <v>20</v>
      </c>
      <c r="N46" s="1">
        <v>0.27510596049899999</v>
      </c>
      <c r="O46" s="1">
        <v>0</v>
      </c>
      <c r="P46" s="1">
        <v>3.7645999999999999E-3</v>
      </c>
      <c r="Q46" s="1" t="s">
        <v>62</v>
      </c>
      <c r="R46" s="1">
        <v>2348</v>
      </c>
      <c r="S46" s="1">
        <v>601.74</v>
      </c>
      <c r="T46" s="1">
        <v>3754</v>
      </c>
      <c r="U46" s="1">
        <v>5886</v>
      </c>
      <c r="V46" s="1">
        <v>5886</v>
      </c>
      <c r="W46" s="1">
        <v>0.19750000000000001</v>
      </c>
      <c r="X46" s="1">
        <v>5</v>
      </c>
      <c r="Y46" s="1">
        <v>23</v>
      </c>
      <c r="Z46" s="1">
        <v>1</v>
      </c>
      <c r="AA46" s="1">
        <v>2.07E-2</v>
      </c>
      <c r="AB46" s="1" t="s">
        <v>63</v>
      </c>
      <c r="AC46" s="1" t="s">
        <v>97</v>
      </c>
      <c r="AD46" s="1">
        <v>40</v>
      </c>
      <c r="AE46" s="1">
        <v>8.6920000000000002</v>
      </c>
      <c r="AF46" s="1">
        <v>200</v>
      </c>
      <c r="AG46" s="1" t="s">
        <v>65</v>
      </c>
      <c r="AH46" s="1" t="s">
        <v>98</v>
      </c>
      <c r="AI46" s="1">
        <v>2.8650000000000001E-6</v>
      </c>
      <c r="AJ46" s="1">
        <v>2</v>
      </c>
      <c r="AK46" s="1">
        <v>4.2399999999999999E-7</v>
      </c>
      <c r="AL46" s="1">
        <v>25.6557754257</v>
      </c>
      <c r="AM46" s="1">
        <v>367.41095850599999</v>
      </c>
      <c r="AN46" s="1">
        <v>0.61058091286299998</v>
      </c>
      <c r="AO46" s="1">
        <v>698080.279232</v>
      </c>
      <c r="AP46" s="1">
        <v>-1.73041701245E-3</v>
      </c>
      <c r="AQ46" s="1">
        <v>-2.3357533353199999E-3</v>
      </c>
      <c r="AR46" s="1">
        <v>0.25</v>
      </c>
      <c r="AS46" s="1">
        <v>3.8783113755300001E-3</v>
      </c>
      <c r="AT46" s="1">
        <v>0.26647435113700002</v>
      </c>
      <c r="AU46" s="1">
        <v>3.8315059108600001E-3</v>
      </c>
      <c r="AV46" s="1">
        <v>0.26972958709799999</v>
      </c>
      <c r="AW46" s="1">
        <v>4</v>
      </c>
      <c r="AX46" s="1">
        <v>3.7645999999999999E-3</v>
      </c>
      <c r="AY46" s="1">
        <v>0.27510596049899999</v>
      </c>
      <c r="AZ46" s="1">
        <v>1.74620403621</v>
      </c>
      <c r="BA46" s="1">
        <v>1.74620403621</v>
      </c>
      <c r="BB46" s="1">
        <v>1.99324570156</v>
      </c>
      <c r="BC46" s="1">
        <v>1.99324570156</v>
      </c>
      <c r="BD46" s="1">
        <v>-4.0088676247199997</v>
      </c>
      <c r="BE46" s="1">
        <v>5.3066080212599998E-3</v>
      </c>
      <c r="BF46" s="1">
        <v>-3.3414421073499998</v>
      </c>
      <c r="BG46" s="1">
        <v>1.1450782504899999</v>
      </c>
    </row>
    <row r="47" spans="1:59" x14ac:dyDescent="0.3">
      <c r="A47" s="1" t="s">
        <v>137</v>
      </c>
      <c r="B47" s="1" t="s">
        <v>99</v>
      </c>
      <c r="C47" s="1" t="s">
        <v>100</v>
      </c>
      <c r="D47" s="2">
        <v>43018.862615740742</v>
      </c>
      <c r="E47" s="1">
        <v>291.97500000000002</v>
      </c>
      <c r="F47" s="1">
        <v>0.2</v>
      </c>
      <c r="G47" s="1">
        <v>20</v>
      </c>
      <c r="H47" s="1">
        <v>115</v>
      </c>
      <c r="I47" s="1">
        <v>-10.66</v>
      </c>
      <c r="J47" s="1">
        <v>-72.8</v>
      </c>
      <c r="K47" s="1">
        <v>1.2E-5</v>
      </c>
      <c r="L47" s="1">
        <v>-0.2</v>
      </c>
      <c r="M47" s="1">
        <v>20</v>
      </c>
      <c r="N47" s="1">
        <v>0.29308932452499997</v>
      </c>
      <c r="O47" s="1">
        <v>-0.2</v>
      </c>
      <c r="P47" s="1">
        <v>3.4884E-3</v>
      </c>
      <c r="Q47" s="1" t="s">
        <v>62</v>
      </c>
      <c r="R47" s="1">
        <v>1192</v>
      </c>
      <c r="S47" s="1">
        <v>619.20000000000005</v>
      </c>
      <c r="T47" s="1">
        <v>3774</v>
      </c>
      <c r="U47" s="1">
        <v>6249</v>
      </c>
      <c r="V47" s="1">
        <v>6249</v>
      </c>
      <c r="W47" s="1">
        <v>0.19750000000000001</v>
      </c>
      <c r="X47" s="1">
        <v>5</v>
      </c>
      <c r="Y47" s="1">
        <v>23</v>
      </c>
      <c r="Z47" s="1">
        <v>1</v>
      </c>
      <c r="AA47" s="1">
        <v>2.3300000000000001E-2</v>
      </c>
      <c r="AB47" s="1" t="s">
        <v>63</v>
      </c>
      <c r="AC47" s="1" t="s">
        <v>101</v>
      </c>
      <c r="AD47" s="1">
        <v>40</v>
      </c>
      <c r="AE47" s="1">
        <v>8.6920000000000002</v>
      </c>
      <c r="AF47" s="1">
        <v>200</v>
      </c>
      <c r="AG47" s="1" t="s">
        <v>65</v>
      </c>
      <c r="AH47" s="1" t="s">
        <v>102</v>
      </c>
      <c r="AI47" s="1">
        <v>2.8669999999999998E-6</v>
      </c>
      <c r="AJ47" s="1">
        <v>2</v>
      </c>
      <c r="AK47" s="1">
        <v>4.2399999999999999E-7</v>
      </c>
      <c r="AL47" s="1">
        <v>25.6557754257</v>
      </c>
      <c r="AM47" s="1">
        <v>386.05016462100002</v>
      </c>
      <c r="AN47" s="1">
        <v>0.62346602813499996</v>
      </c>
      <c r="AO47" s="1">
        <v>697593.30310400005</v>
      </c>
      <c r="AP47" s="1">
        <v>-1.67977850943E-3</v>
      </c>
      <c r="AQ47" s="1">
        <v>-2.2851148323000002E-3</v>
      </c>
      <c r="AR47" s="1">
        <v>0.25</v>
      </c>
      <c r="AS47" s="1">
        <v>3.6936360839600001E-3</v>
      </c>
      <c r="AT47" s="1">
        <v>0.27979759884599997</v>
      </c>
      <c r="AU47" s="1">
        <v>3.6565157529700001E-3</v>
      </c>
      <c r="AV47" s="1">
        <v>0.282638056862</v>
      </c>
      <c r="AW47" s="1">
        <v>4</v>
      </c>
      <c r="AX47" s="1">
        <v>3.4899558264E-3</v>
      </c>
      <c r="AY47" s="1">
        <v>0.29295860668599999</v>
      </c>
      <c r="AZ47" s="1">
        <v>4.5977035058400002</v>
      </c>
      <c r="BA47" s="1">
        <v>4.5551540815999996</v>
      </c>
      <c r="BB47" s="1">
        <v>3.6977566926000001</v>
      </c>
      <c r="BC47" s="1">
        <v>3.65150749311</v>
      </c>
      <c r="BD47" s="1">
        <v>-1.9253301436700001</v>
      </c>
      <c r="BE47" s="1">
        <v>3.0141623076699999</v>
      </c>
      <c r="BF47" s="1">
        <v>-3.5206530091200001</v>
      </c>
      <c r="BG47" s="1">
        <v>2.1475173732699999</v>
      </c>
    </row>
    <row r="48" spans="1:59" x14ac:dyDescent="0.3">
      <c r="A48" s="1" t="s">
        <v>137</v>
      </c>
      <c r="B48" s="1" t="s">
        <v>103</v>
      </c>
      <c r="C48" s="1" t="s">
        <v>104</v>
      </c>
      <c r="D48" s="2">
        <v>43018.87703703704</v>
      </c>
      <c r="E48" s="1">
        <v>292.97500000000002</v>
      </c>
      <c r="F48" s="1">
        <v>0.2</v>
      </c>
      <c r="G48" s="1">
        <v>20</v>
      </c>
      <c r="H48" s="1">
        <v>116</v>
      </c>
      <c r="I48" s="1">
        <v>-10.61</v>
      </c>
      <c r="J48" s="1">
        <v>-72.5</v>
      </c>
      <c r="K48" s="1">
        <v>1.5999999999999999E-5</v>
      </c>
      <c r="L48" s="1">
        <v>0</v>
      </c>
      <c r="M48" s="1">
        <v>20</v>
      </c>
      <c r="N48" s="1">
        <v>0.294781347661</v>
      </c>
      <c r="O48" s="1">
        <v>0</v>
      </c>
      <c r="P48" s="1">
        <v>3.5063E-3</v>
      </c>
      <c r="Q48" s="1" t="s">
        <v>62</v>
      </c>
      <c r="R48" s="1">
        <v>832</v>
      </c>
      <c r="S48" s="1">
        <v>628.26</v>
      </c>
      <c r="T48" s="1">
        <v>3591</v>
      </c>
      <c r="U48" s="1">
        <v>6355</v>
      </c>
      <c r="V48" s="1">
        <v>6355</v>
      </c>
      <c r="W48" s="1">
        <v>0.19750000000000001</v>
      </c>
      <c r="X48" s="1">
        <v>5</v>
      </c>
      <c r="Y48" s="1">
        <v>23</v>
      </c>
      <c r="Z48" s="1">
        <v>1</v>
      </c>
      <c r="AA48" s="1">
        <v>1.12E-2</v>
      </c>
      <c r="AB48" s="1" t="s">
        <v>63</v>
      </c>
      <c r="AC48" s="1" t="s">
        <v>105</v>
      </c>
      <c r="AD48" s="1">
        <v>40</v>
      </c>
      <c r="AE48" s="1">
        <v>8.6920000000000002</v>
      </c>
      <c r="AF48" s="1">
        <v>200</v>
      </c>
      <c r="AG48" s="1" t="s">
        <v>65</v>
      </c>
      <c r="AH48" s="1" t="s">
        <v>106</v>
      </c>
      <c r="AI48" s="1">
        <v>2.8669999999999998E-6</v>
      </c>
      <c r="AJ48" s="1">
        <v>2</v>
      </c>
      <c r="AK48" s="1">
        <v>4.2399999999999999E-7</v>
      </c>
      <c r="AL48" s="1">
        <v>25.6557754257</v>
      </c>
      <c r="AM48" s="1">
        <v>401.42693545100002</v>
      </c>
      <c r="AN48" s="1">
        <v>0.638950331792</v>
      </c>
      <c r="AO48" s="1">
        <v>697593.30310400005</v>
      </c>
      <c r="AP48" s="1">
        <v>-1.6189251960600001E-3</v>
      </c>
      <c r="AQ48" s="1">
        <v>-2.22426151893E-3</v>
      </c>
      <c r="AR48" s="1">
        <v>0.25</v>
      </c>
      <c r="AS48" s="1">
        <v>3.5521503226000001E-3</v>
      </c>
      <c r="AT48" s="1">
        <v>0.29094222187800001</v>
      </c>
      <c r="AU48" s="1">
        <v>3.52524020478E-3</v>
      </c>
      <c r="AV48" s="1">
        <v>0.29316314556400003</v>
      </c>
      <c r="AW48" s="1">
        <v>4</v>
      </c>
      <c r="AX48" s="1">
        <v>3.5063E-3</v>
      </c>
      <c r="AY48" s="1">
        <v>0.294781347661</v>
      </c>
      <c r="AZ48" s="1">
        <v>0.53727416236299996</v>
      </c>
      <c r="BA48" s="1">
        <v>0.53727416236299996</v>
      </c>
      <c r="BB48" s="1">
        <v>0.55198005658000004</v>
      </c>
      <c r="BC48" s="1">
        <v>0.55198005658000004</v>
      </c>
      <c r="BD48" s="1">
        <v>-3.7245688909900001</v>
      </c>
      <c r="BE48" s="1">
        <v>1.1217923518099999</v>
      </c>
      <c r="BF48" s="1">
        <v>-3.41385042888</v>
      </c>
      <c r="BG48" s="1">
        <v>1.8490038761300001</v>
      </c>
    </row>
    <row r="49" spans="1:59" x14ac:dyDescent="0.3">
      <c r="A49" s="1" t="s">
        <v>137</v>
      </c>
      <c r="B49" s="1" t="s">
        <v>107</v>
      </c>
      <c r="C49" s="1" t="s">
        <v>108</v>
      </c>
      <c r="D49" s="2">
        <v>43018.878483796296</v>
      </c>
      <c r="E49" s="1">
        <v>293.375</v>
      </c>
      <c r="F49" s="1">
        <v>0.2</v>
      </c>
      <c r="G49" s="1">
        <v>20</v>
      </c>
      <c r="H49" s="1">
        <v>116</v>
      </c>
      <c r="I49" s="1">
        <v>-11.88</v>
      </c>
      <c r="J49" s="1">
        <v>-72.900000000000006</v>
      </c>
      <c r="K49" s="1">
        <v>1.2999999999999999E-5</v>
      </c>
      <c r="L49" s="1">
        <v>0</v>
      </c>
      <c r="M49" s="1">
        <v>20</v>
      </c>
      <c r="N49" s="1">
        <v>0.254683025259</v>
      </c>
      <c r="O49" s="1">
        <v>0</v>
      </c>
      <c r="P49" s="1">
        <v>4.0483999999999997E-3</v>
      </c>
      <c r="Q49" s="1" t="s">
        <v>62</v>
      </c>
      <c r="R49" s="1">
        <v>822</v>
      </c>
      <c r="S49" s="1">
        <v>619.91999999999996</v>
      </c>
      <c r="T49" s="1">
        <v>3790</v>
      </c>
      <c r="U49" s="1">
        <v>6255</v>
      </c>
      <c r="V49" s="1">
        <v>6255</v>
      </c>
      <c r="W49" s="1">
        <v>0.19750000000000001</v>
      </c>
      <c r="X49" s="1">
        <v>5</v>
      </c>
      <c r="Y49" s="1">
        <v>23</v>
      </c>
      <c r="Z49" s="1">
        <v>1</v>
      </c>
      <c r="AA49" s="1">
        <v>2.1899999999999999E-2</v>
      </c>
      <c r="AB49" s="1" t="s">
        <v>63</v>
      </c>
      <c r="AC49" s="1" t="s">
        <v>109</v>
      </c>
      <c r="AD49" s="1">
        <v>40</v>
      </c>
      <c r="AE49" s="1">
        <v>8.6920000000000002</v>
      </c>
      <c r="AF49" s="1">
        <v>200</v>
      </c>
      <c r="AG49" s="1" t="s">
        <v>65</v>
      </c>
      <c r="AH49" s="1" t="s">
        <v>110</v>
      </c>
      <c r="AI49" s="1">
        <v>2.8669999999999998E-6</v>
      </c>
      <c r="AJ49" s="1">
        <v>2</v>
      </c>
      <c r="AK49" s="1">
        <v>4.2399999999999999E-7</v>
      </c>
      <c r="AL49" s="1">
        <v>25.6557754257</v>
      </c>
      <c r="AM49" s="1">
        <v>386.02285714300001</v>
      </c>
      <c r="AN49" s="1">
        <v>0.62269785963199997</v>
      </c>
      <c r="AO49" s="1">
        <v>697593.30310400005</v>
      </c>
      <c r="AP49" s="1">
        <v>-1.6827974116500001E-3</v>
      </c>
      <c r="AQ49" s="1">
        <v>-2.2881337345199999E-3</v>
      </c>
      <c r="AR49" s="1">
        <v>0.25</v>
      </c>
      <c r="AS49" s="1">
        <v>3.6938973739000002E-3</v>
      </c>
      <c r="AT49" s="1">
        <v>0.279777807203</v>
      </c>
      <c r="AU49" s="1">
        <v>3.6563194701999999E-3</v>
      </c>
      <c r="AV49" s="1">
        <v>0.28265322976399998</v>
      </c>
      <c r="AW49" s="1">
        <v>4</v>
      </c>
      <c r="AX49" s="1">
        <v>4.0483999999999997E-3</v>
      </c>
      <c r="AY49" s="1">
        <v>0.254683025259</v>
      </c>
      <c r="AZ49" s="1">
        <v>-10.7233662976</v>
      </c>
      <c r="BA49" s="1">
        <v>-10.7233662976</v>
      </c>
      <c r="BB49" s="1">
        <v>-9.8955899174099997</v>
      </c>
      <c r="BC49" s="1">
        <v>-9.8955899174099997</v>
      </c>
      <c r="BD49" s="1">
        <v>-6.0552695628600004</v>
      </c>
      <c r="BE49" s="1">
        <v>-0.75686583805200003</v>
      </c>
      <c r="BF49" s="1">
        <v>-2.6310962769500001</v>
      </c>
      <c r="BG49" s="1">
        <v>2.0632677904699999</v>
      </c>
    </row>
    <row r="50" spans="1:59" x14ac:dyDescent="0.3">
      <c r="A50" s="1" t="s">
        <v>137</v>
      </c>
      <c r="B50" s="1" t="s">
        <v>111</v>
      </c>
      <c r="C50" s="1" t="s">
        <v>112</v>
      </c>
      <c r="D50" s="2">
        <v>43018.88177083333</v>
      </c>
      <c r="E50" s="1">
        <v>292.97500000000002</v>
      </c>
      <c r="F50" s="1">
        <v>0.2</v>
      </c>
      <c r="G50" s="1">
        <v>20</v>
      </c>
      <c r="H50" s="1">
        <v>116</v>
      </c>
      <c r="I50" s="1">
        <v>-10.73</v>
      </c>
      <c r="J50" s="1">
        <v>-72.900000000000006</v>
      </c>
      <c r="K50" s="1">
        <v>1.4E-5</v>
      </c>
      <c r="L50" s="1">
        <v>0</v>
      </c>
      <c r="M50" s="1">
        <v>20</v>
      </c>
      <c r="N50" s="1">
        <v>0.29073679594399998</v>
      </c>
      <c r="O50" s="1">
        <v>0</v>
      </c>
      <c r="P50" s="1">
        <v>3.5433000000000001E-3</v>
      </c>
      <c r="Q50" s="1" t="s">
        <v>62</v>
      </c>
      <c r="R50" s="1">
        <v>2474</v>
      </c>
      <c r="S50" s="1">
        <v>626.6</v>
      </c>
      <c r="T50" s="1">
        <v>3619</v>
      </c>
      <c r="U50" s="1">
        <v>6407</v>
      </c>
      <c r="V50" s="1">
        <v>6407</v>
      </c>
      <c r="W50" s="1">
        <v>0.19750000000000001</v>
      </c>
      <c r="X50" s="1">
        <v>5</v>
      </c>
      <c r="Y50" s="1">
        <v>23</v>
      </c>
      <c r="Z50" s="1">
        <v>1</v>
      </c>
      <c r="AA50" s="1">
        <v>2.4400000000000002E-2</v>
      </c>
      <c r="AB50" s="1" t="s">
        <v>63</v>
      </c>
      <c r="AC50" s="1" t="s">
        <v>113</v>
      </c>
      <c r="AD50" s="1">
        <v>40</v>
      </c>
      <c r="AE50" s="1">
        <v>8.6920000000000002</v>
      </c>
      <c r="AF50" s="1">
        <v>200</v>
      </c>
      <c r="AG50" s="1" t="s">
        <v>65</v>
      </c>
      <c r="AH50" s="1" t="s">
        <v>114</v>
      </c>
      <c r="AI50" s="1">
        <v>2.864E-6</v>
      </c>
      <c r="AJ50" s="1">
        <v>2</v>
      </c>
      <c r="AK50" s="1">
        <v>4.2399999999999999E-7</v>
      </c>
      <c r="AL50" s="1">
        <v>25.6557754257</v>
      </c>
      <c r="AM50" s="1">
        <v>400.42152403799997</v>
      </c>
      <c r="AN50" s="1">
        <v>0.63903849989999995</v>
      </c>
      <c r="AO50" s="1">
        <v>698324.02234599995</v>
      </c>
      <c r="AP50" s="1">
        <v>-1.61857869539E-3</v>
      </c>
      <c r="AQ50" s="1">
        <v>-2.2239150182600002E-3</v>
      </c>
      <c r="AR50" s="1">
        <v>0.25</v>
      </c>
      <c r="AS50" s="1">
        <v>3.5573430876300002E-3</v>
      </c>
      <c r="AT50" s="1">
        <v>0.29051752441200002</v>
      </c>
      <c r="AU50" s="1">
        <v>3.5304434487899998E-3</v>
      </c>
      <c r="AV50" s="1">
        <v>0.29273107537100002</v>
      </c>
      <c r="AW50" s="1">
        <v>4</v>
      </c>
      <c r="AX50" s="1">
        <v>3.5433000000000001E-3</v>
      </c>
      <c r="AY50" s="1">
        <v>0.29073679594399998</v>
      </c>
      <c r="AZ50" s="1">
        <v>-0.36416250235699998</v>
      </c>
      <c r="BA50" s="1">
        <v>-0.36416250235699998</v>
      </c>
      <c r="BB50" s="1">
        <v>-0.68126673063200005</v>
      </c>
      <c r="BC50" s="1">
        <v>-0.68126673063200005</v>
      </c>
      <c r="BD50" s="1">
        <v>-3.77572964795</v>
      </c>
      <c r="BE50" s="1">
        <v>1.11367341158</v>
      </c>
      <c r="BF50" s="1">
        <v>-3.4902754789300001</v>
      </c>
      <c r="BG50" s="1">
        <v>1.7140193529100001</v>
      </c>
    </row>
    <row r="51" spans="1:59" x14ac:dyDescent="0.3">
      <c r="A51" s="1" t="s">
        <v>137</v>
      </c>
      <c r="B51" s="1" t="s">
        <v>115</v>
      </c>
      <c r="C51" s="1" t="s">
        <v>116</v>
      </c>
      <c r="D51" s="2">
        <v>43018.8830787037</v>
      </c>
      <c r="E51" s="1">
        <v>292.375</v>
      </c>
      <c r="F51" s="1">
        <v>0.2</v>
      </c>
      <c r="G51" s="1">
        <v>20</v>
      </c>
      <c r="H51" s="1">
        <v>115</v>
      </c>
      <c r="I51" s="1">
        <v>-11.11</v>
      </c>
      <c r="J51" s="1">
        <v>-73</v>
      </c>
      <c r="K51" s="1">
        <v>2.0000000000000002E-5</v>
      </c>
      <c r="L51" s="1">
        <v>0</v>
      </c>
      <c r="M51" s="1">
        <v>20</v>
      </c>
      <c r="N51" s="1">
        <v>0.27829153738500001</v>
      </c>
      <c r="O51" s="1">
        <v>0</v>
      </c>
      <c r="P51" s="1">
        <v>3.6841E-3</v>
      </c>
      <c r="Q51" s="1" t="s">
        <v>62</v>
      </c>
      <c r="R51" s="1">
        <v>2349</v>
      </c>
      <c r="S51" s="1">
        <v>615.83000000000004</v>
      </c>
      <c r="T51" s="1">
        <v>3762</v>
      </c>
      <c r="U51" s="1">
        <v>6164</v>
      </c>
      <c r="V51" s="1">
        <v>6164</v>
      </c>
      <c r="W51" s="1">
        <v>0.19750000000000001</v>
      </c>
      <c r="X51" s="1">
        <v>5</v>
      </c>
      <c r="Y51" s="1">
        <v>23</v>
      </c>
      <c r="Z51" s="1">
        <v>1</v>
      </c>
      <c r="AA51" s="1">
        <v>2.0500000000000001E-2</v>
      </c>
      <c r="AB51" s="1" t="s">
        <v>63</v>
      </c>
      <c r="AC51" s="1" t="s">
        <v>117</v>
      </c>
      <c r="AD51" s="1">
        <v>40</v>
      </c>
      <c r="AE51" s="1">
        <v>8.6920000000000002</v>
      </c>
      <c r="AF51" s="1">
        <v>200</v>
      </c>
      <c r="AG51" s="1" t="s">
        <v>65</v>
      </c>
      <c r="AH51" s="1" t="s">
        <v>118</v>
      </c>
      <c r="AI51" s="1">
        <v>2.869E-6</v>
      </c>
      <c r="AJ51" s="1">
        <v>2</v>
      </c>
      <c r="AK51" s="1">
        <v>4.2399999999999999E-7</v>
      </c>
      <c r="AL51" s="1">
        <v>25.6557754257</v>
      </c>
      <c r="AM51" s="1">
        <v>382.427576063</v>
      </c>
      <c r="AN51" s="1">
        <v>0.620995365706</v>
      </c>
      <c r="AO51" s="1">
        <v>697107.00592499995</v>
      </c>
      <c r="AP51" s="1">
        <v>-1.68948821277E-3</v>
      </c>
      <c r="AQ51" s="1">
        <v>-2.2948245356399998E-3</v>
      </c>
      <c r="AR51" s="1">
        <v>0.25</v>
      </c>
      <c r="AS51" s="1">
        <v>3.73122553386E-3</v>
      </c>
      <c r="AT51" s="1">
        <v>0.27697883655700001</v>
      </c>
      <c r="AU51" s="1">
        <v>3.69226557105E-3</v>
      </c>
      <c r="AV51" s="1">
        <v>0.27990145546599998</v>
      </c>
      <c r="AW51" s="1">
        <v>4</v>
      </c>
      <c r="AX51" s="1">
        <v>3.6841E-3</v>
      </c>
      <c r="AY51" s="1">
        <v>0.27829153738500001</v>
      </c>
      <c r="AZ51" s="1">
        <v>0.221153405439</v>
      </c>
      <c r="BA51" s="1">
        <v>0.221153405439</v>
      </c>
      <c r="BB51" s="1">
        <v>-0.57517317217999997</v>
      </c>
      <c r="BC51" s="1">
        <v>-0.57517317217999997</v>
      </c>
      <c r="BD51" s="1">
        <v>-3.4423309362299999</v>
      </c>
      <c r="BE51" s="1">
        <v>1.06910809205</v>
      </c>
      <c r="BF51" s="1">
        <v>-3.4940038364500001</v>
      </c>
      <c r="BG51" s="1">
        <v>1.3256850035600001</v>
      </c>
    </row>
    <row r="52" spans="1:59" x14ac:dyDescent="0.3">
      <c r="A52" s="1" t="s">
        <v>137</v>
      </c>
      <c r="B52" s="1" t="s">
        <v>119</v>
      </c>
      <c r="C52" s="1" t="s">
        <v>120</v>
      </c>
      <c r="D52" s="2">
        <v>43018.884467592594</v>
      </c>
      <c r="E52" s="1">
        <v>292.47500000000002</v>
      </c>
      <c r="F52" s="1">
        <v>0.2</v>
      </c>
      <c r="G52" s="1">
        <v>20</v>
      </c>
      <c r="H52" s="1">
        <v>116</v>
      </c>
      <c r="I52" s="1">
        <v>-10.81</v>
      </c>
      <c r="J52" s="1">
        <v>107.3</v>
      </c>
      <c r="K52" s="1">
        <v>1.5999999999999999E-5</v>
      </c>
      <c r="L52" s="1">
        <v>0</v>
      </c>
      <c r="M52" s="1">
        <v>20</v>
      </c>
      <c r="N52" s="1">
        <v>0.28807130497799999</v>
      </c>
      <c r="O52" s="1">
        <v>0</v>
      </c>
      <c r="P52" s="1">
        <v>3.6017000000000002E-3</v>
      </c>
      <c r="Q52" s="1" t="s">
        <v>62</v>
      </c>
      <c r="R52" s="1">
        <v>2350</v>
      </c>
      <c r="S52" s="1">
        <v>616.95000000000005</v>
      </c>
      <c r="T52" s="1">
        <v>3661</v>
      </c>
      <c r="U52" s="1">
        <v>6211</v>
      </c>
      <c r="V52" s="1">
        <v>6211</v>
      </c>
      <c r="W52" s="1">
        <v>0.19750000000000001</v>
      </c>
      <c r="X52" s="1">
        <v>5</v>
      </c>
      <c r="Y52" s="1">
        <v>23</v>
      </c>
      <c r="Z52" s="1">
        <v>1</v>
      </c>
      <c r="AA52" s="1">
        <v>2.4400000000000002E-2</v>
      </c>
      <c r="AB52" s="1" t="s">
        <v>63</v>
      </c>
      <c r="AC52" s="1" t="s">
        <v>121</v>
      </c>
      <c r="AD52" s="1">
        <v>40</v>
      </c>
      <c r="AE52" s="1">
        <v>8.6920000000000002</v>
      </c>
      <c r="AF52" s="1">
        <v>200</v>
      </c>
      <c r="AG52" s="1" t="s">
        <v>65</v>
      </c>
      <c r="AH52" s="1" t="s">
        <v>122</v>
      </c>
      <c r="AI52" s="1">
        <v>2.875E-6</v>
      </c>
      <c r="AJ52" s="1">
        <v>2</v>
      </c>
      <c r="AK52" s="1">
        <v>4.2399999999999999E-7</v>
      </c>
      <c r="AL52" s="1">
        <v>25.6557754257</v>
      </c>
      <c r="AM52" s="1">
        <v>388.15604234199998</v>
      </c>
      <c r="AN52" s="1">
        <v>0.62915316045400005</v>
      </c>
      <c r="AO52" s="1">
        <v>695652.17391300004</v>
      </c>
      <c r="AP52" s="1">
        <v>-1.6574280794199999E-3</v>
      </c>
      <c r="AQ52" s="1">
        <v>-2.2627644022899999E-3</v>
      </c>
      <c r="AR52" s="1">
        <v>0.25</v>
      </c>
      <c r="AS52" s="1">
        <v>3.6838475660799998E-3</v>
      </c>
      <c r="AT52" s="1">
        <v>0.28054106169300003</v>
      </c>
      <c r="AU52" s="1">
        <v>3.6501489754799999E-3</v>
      </c>
      <c r="AV52" s="1">
        <v>0.28313104869</v>
      </c>
      <c r="AW52" s="1">
        <v>4</v>
      </c>
      <c r="AX52" s="1">
        <v>3.6017000000000002E-3</v>
      </c>
      <c r="AY52" s="1">
        <v>0.28807130497799999</v>
      </c>
      <c r="AZ52" s="1">
        <v>1.3273150166000001</v>
      </c>
      <c r="BA52" s="1">
        <v>1.3273150166000001</v>
      </c>
      <c r="BB52" s="1">
        <v>1.74486560567</v>
      </c>
      <c r="BC52" s="1">
        <v>1.74486560567</v>
      </c>
      <c r="BD52" s="1">
        <v>-5.8545555656900001</v>
      </c>
      <c r="BE52" s="1">
        <v>-1.5078825650600001</v>
      </c>
      <c r="BF52" s="1">
        <v>-3.6968594446699998</v>
      </c>
      <c r="BG52" s="1">
        <v>1.2409765394400001</v>
      </c>
    </row>
    <row r="53" spans="1:59" x14ac:dyDescent="0.3">
      <c r="A53" s="1" t="s">
        <v>137</v>
      </c>
      <c r="B53" s="1" t="s">
        <v>123</v>
      </c>
      <c r="C53" s="1" t="s">
        <v>124</v>
      </c>
      <c r="D53" s="2">
        <v>43019.797511574077</v>
      </c>
      <c r="E53" s="1">
        <v>287.375</v>
      </c>
      <c r="F53" s="1">
        <v>0.2</v>
      </c>
      <c r="G53" s="1">
        <v>20</v>
      </c>
      <c r="H53" s="1">
        <v>113</v>
      </c>
      <c r="I53" s="1">
        <v>-10.54</v>
      </c>
      <c r="J53" s="1">
        <v>-73.5</v>
      </c>
      <c r="K53" s="1">
        <v>4.1999999999999998E-5</v>
      </c>
      <c r="L53" s="1">
        <v>2.5</v>
      </c>
      <c r="M53" s="1">
        <v>20</v>
      </c>
      <c r="N53" s="1">
        <v>0.29716660317400001</v>
      </c>
      <c r="O53" s="1">
        <v>2.5</v>
      </c>
      <c r="P53" s="1">
        <v>3.5035999999999999E-3</v>
      </c>
      <c r="Q53" s="1" t="s">
        <v>62</v>
      </c>
      <c r="R53" s="1">
        <v>2911</v>
      </c>
      <c r="S53" s="1">
        <v>618.86</v>
      </c>
      <c r="T53" s="1">
        <v>3577</v>
      </c>
      <c r="U53" s="1">
        <v>6252</v>
      </c>
      <c r="V53" s="1">
        <v>6252</v>
      </c>
      <c r="W53" s="1">
        <v>0.19750000000000001</v>
      </c>
      <c r="X53" s="1">
        <v>5</v>
      </c>
      <c r="Y53" s="1">
        <v>23</v>
      </c>
      <c r="Z53" s="1">
        <v>1</v>
      </c>
      <c r="AA53" s="1">
        <v>2.4799999999999999E-2</v>
      </c>
      <c r="AB53" s="1" t="s">
        <v>63</v>
      </c>
      <c r="AC53" s="1" t="s">
        <v>125</v>
      </c>
      <c r="AD53" s="1">
        <v>40</v>
      </c>
      <c r="AE53" s="1">
        <v>8.6920000000000002</v>
      </c>
      <c r="AF53" s="1">
        <v>200</v>
      </c>
      <c r="AG53" s="1" t="s">
        <v>65</v>
      </c>
      <c r="AH53" s="1" t="s">
        <v>126</v>
      </c>
      <c r="AI53" s="1">
        <v>2.8660000000000002E-6</v>
      </c>
      <c r="AJ53" s="1">
        <v>2</v>
      </c>
      <c r="AK53" s="1">
        <v>4.2399999999999999E-7</v>
      </c>
      <c r="AL53" s="1">
        <v>25.6557754257</v>
      </c>
      <c r="AM53" s="1">
        <v>393.64255977200003</v>
      </c>
      <c r="AN53" s="1">
        <v>0.63607691525099996</v>
      </c>
      <c r="AO53" s="1">
        <v>697836.70621099998</v>
      </c>
      <c r="AP53" s="1">
        <v>-1.6302177230600001E-3</v>
      </c>
      <c r="AQ53" s="1">
        <v>-2.2355540459300001E-3</v>
      </c>
      <c r="AR53" s="1">
        <v>0.25</v>
      </c>
      <c r="AS53" s="1">
        <v>3.6211314647800002E-3</v>
      </c>
      <c r="AT53" s="1">
        <v>0.285399886017</v>
      </c>
      <c r="AU53" s="1">
        <v>3.5920201593800001E-3</v>
      </c>
      <c r="AV53" s="1">
        <v>0.28771289175600001</v>
      </c>
      <c r="AW53" s="1">
        <v>4</v>
      </c>
      <c r="AX53" s="1">
        <v>3.48406743E-3</v>
      </c>
      <c r="AY53" s="1">
        <v>0.29882330698600001</v>
      </c>
      <c r="AZ53" s="1">
        <v>2.4615719138799999</v>
      </c>
      <c r="BA53" s="1">
        <v>3.0053486504600002</v>
      </c>
      <c r="BB53" s="1">
        <v>3.2858143269800002</v>
      </c>
      <c r="BC53" s="1">
        <v>3.8616327418499998</v>
      </c>
      <c r="BD53" s="1">
        <v>-2.9676893577999999</v>
      </c>
      <c r="BE53" s="1">
        <v>2.0048350734299998</v>
      </c>
      <c r="BF53" s="1">
        <v>-2.0414193362000002</v>
      </c>
      <c r="BG53" s="1">
        <v>3.4668734311199998</v>
      </c>
    </row>
    <row r="54" spans="1:59" x14ac:dyDescent="0.3">
      <c r="A54" s="1" t="s">
        <v>137</v>
      </c>
      <c r="B54" s="1" t="s">
        <v>127</v>
      </c>
      <c r="C54" s="1" t="s">
        <v>128</v>
      </c>
      <c r="D54" s="2">
        <v>43018.865300925929</v>
      </c>
      <c r="E54" s="1">
        <v>292.77499999999998</v>
      </c>
      <c r="F54" s="1">
        <v>0.2</v>
      </c>
      <c r="G54" s="1">
        <v>20</v>
      </c>
      <c r="H54" s="1">
        <v>116</v>
      </c>
      <c r="I54" s="1">
        <v>-11.49</v>
      </c>
      <c r="J54" s="1">
        <v>-73</v>
      </c>
      <c r="K54" s="1">
        <v>1.4E-5</v>
      </c>
      <c r="L54" s="1">
        <v>-0.2</v>
      </c>
      <c r="M54" s="1">
        <v>20</v>
      </c>
      <c r="N54" s="1">
        <v>0.26637900967700001</v>
      </c>
      <c r="O54" s="1">
        <v>-0.2</v>
      </c>
      <c r="P54" s="1">
        <v>3.8522000000000001E-3</v>
      </c>
      <c r="Q54" s="1" t="s">
        <v>62</v>
      </c>
      <c r="R54" s="1">
        <v>1466</v>
      </c>
      <c r="S54" s="1">
        <v>600.25</v>
      </c>
      <c r="T54" s="1">
        <v>3720</v>
      </c>
      <c r="U54" s="1">
        <v>5860</v>
      </c>
      <c r="V54" s="1">
        <v>5860</v>
      </c>
      <c r="W54" s="1">
        <v>0.19750000000000001</v>
      </c>
      <c r="X54" s="1">
        <v>5</v>
      </c>
      <c r="Y54" s="1">
        <v>23</v>
      </c>
      <c r="Z54" s="1">
        <v>1</v>
      </c>
      <c r="AA54" s="1">
        <v>2.1100000000000001E-2</v>
      </c>
      <c r="AB54" s="1" t="s">
        <v>63</v>
      </c>
      <c r="AC54" s="1" t="s">
        <v>129</v>
      </c>
      <c r="AD54" s="1">
        <v>40</v>
      </c>
      <c r="AE54" s="1">
        <v>8.6920000000000002</v>
      </c>
      <c r="AF54" s="1">
        <v>200</v>
      </c>
      <c r="AG54" s="1" t="s">
        <v>65</v>
      </c>
      <c r="AH54" s="1" t="s">
        <v>130</v>
      </c>
      <c r="AI54" s="1">
        <v>2.8650000000000001E-6</v>
      </c>
      <c r="AJ54" s="1">
        <v>2</v>
      </c>
      <c r="AK54" s="1">
        <v>4.2399999999999999E-7</v>
      </c>
      <c r="AL54" s="1">
        <v>25.6557754257</v>
      </c>
      <c r="AM54" s="1">
        <v>367.16753653400002</v>
      </c>
      <c r="AN54" s="1">
        <v>0.611691022965</v>
      </c>
      <c r="AO54" s="1">
        <v>698080.279232</v>
      </c>
      <c r="AP54" s="1">
        <v>-1.7260542797499999E-3</v>
      </c>
      <c r="AQ54" s="1">
        <v>-2.3313906026199999E-3</v>
      </c>
      <c r="AR54" s="1">
        <v>0.25</v>
      </c>
      <c r="AS54" s="1">
        <v>3.8808825892400001E-3</v>
      </c>
      <c r="AT54" s="1">
        <v>0.26629780302200001</v>
      </c>
      <c r="AU54" s="1">
        <v>3.83471709759E-3</v>
      </c>
      <c r="AV54" s="1">
        <v>0.26950371592</v>
      </c>
      <c r="AW54" s="1">
        <v>4</v>
      </c>
      <c r="AX54" s="1">
        <v>3.8539180811999999E-3</v>
      </c>
      <c r="AY54" s="1">
        <v>0.26626020463799999</v>
      </c>
      <c r="AZ54" s="1">
        <v>-0.45591113924100002</v>
      </c>
      <c r="BA54" s="1">
        <v>-0.50071447560899995</v>
      </c>
      <c r="BB54" s="1">
        <v>-1.1594297437700001</v>
      </c>
      <c r="BC54" s="1">
        <v>-1.2035126381100001</v>
      </c>
      <c r="BD54" s="1">
        <v>-1.67417826051</v>
      </c>
      <c r="BE54" s="1">
        <v>2.64262703665</v>
      </c>
      <c r="BF54" s="1">
        <v>-2.3022926400000001</v>
      </c>
      <c r="BG54" s="1">
        <v>2.1194864339800001</v>
      </c>
    </row>
    <row r="55" spans="1:59" x14ac:dyDescent="0.3">
      <c r="A55" s="1" t="s">
        <v>137</v>
      </c>
      <c r="B55" s="1" t="s">
        <v>131</v>
      </c>
      <c r="C55" s="1" t="s">
        <v>132</v>
      </c>
      <c r="D55" s="2">
        <v>43018.866539351853</v>
      </c>
      <c r="E55" s="1">
        <v>292.97500000000002</v>
      </c>
      <c r="F55" s="1">
        <v>0.2</v>
      </c>
      <c r="G55" s="1">
        <v>20</v>
      </c>
      <c r="H55" s="1">
        <v>116</v>
      </c>
      <c r="I55" s="1">
        <v>-11</v>
      </c>
      <c r="J55" s="1">
        <v>-72.599999999999994</v>
      </c>
      <c r="K55" s="1">
        <v>1.7E-5</v>
      </c>
      <c r="L55" s="1">
        <v>-0.2</v>
      </c>
      <c r="M55" s="1">
        <v>20</v>
      </c>
      <c r="N55" s="1">
        <v>0.28183829312600001</v>
      </c>
      <c r="O55" s="1">
        <v>-0.2</v>
      </c>
      <c r="P55" s="1">
        <v>3.6697000000000001E-3</v>
      </c>
      <c r="Q55" s="1" t="s">
        <v>62</v>
      </c>
      <c r="R55" s="1">
        <v>954</v>
      </c>
      <c r="S55" s="1">
        <v>609.74</v>
      </c>
      <c r="T55" s="1">
        <v>3688</v>
      </c>
      <c r="U55" s="1">
        <v>6046</v>
      </c>
      <c r="V55" s="1">
        <v>6046</v>
      </c>
      <c r="W55" s="1">
        <v>0.19750000000000001</v>
      </c>
      <c r="X55" s="1">
        <v>5</v>
      </c>
      <c r="Y55" s="1">
        <v>23</v>
      </c>
      <c r="Z55" s="1">
        <v>1</v>
      </c>
      <c r="AA55" s="1">
        <v>2.1000000000000001E-2</v>
      </c>
      <c r="AB55" s="1" t="s">
        <v>63</v>
      </c>
      <c r="AC55" s="1" t="s">
        <v>133</v>
      </c>
      <c r="AD55" s="1">
        <v>40</v>
      </c>
      <c r="AE55" s="1">
        <v>8.6920000000000002</v>
      </c>
      <c r="AF55" s="1">
        <v>200</v>
      </c>
      <c r="AG55" s="1" t="s">
        <v>65</v>
      </c>
      <c r="AH55" s="1" t="s">
        <v>134</v>
      </c>
      <c r="AI55" s="1">
        <v>2.8660000000000002E-6</v>
      </c>
      <c r="AJ55" s="1">
        <v>2</v>
      </c>
      <c r="AK55" s="1">
        <v>4.2399999999999999E-7</v>
      </c>
      <c r="AL55" s="1">
        <v>25.6557754257</v>
      </c>
      <c r="AM55" s="1">
        <v>378.72283131299997</v>
      </c>
      <c r="AN55" s="1">
        <v>0.62112184097000001</v>
      </c>
      <c r="AO55" s="1">
        <v>697836.70621099998</v>
      </c>
      <c r="AP55" s="1">
        <v>-1.6889911649900001E-3</v>
      </c>
      <c r="AQ55" s="1">
        <v>-2.2943274878599999E-3</v>
      </c>
      <c r="AR55" s="1">
        <v>0.25</v>
      </c>
      <c r="AS55" s="1">
        <v>3.76378538924E-3</v>
      </c>
      <c r="AT55" s="1">
        <v>0.27458274062499999</v>
      </c>
      <c r="AU55" s="1">
        <v>3.7245646297000001E-3</v>
      </c>
      <c r="AV55" s="1">
        <v>0.27747417753499998</v>
      </c>
      <c r="AW55" s="1">
        <v>4</v>
      </c>
      <c r="AX55" s="1">
        <v>3.6713366861999999E-3</v>
      </c>
      <c r="AY55" s="1">
        <v>0.28171259324800002</v>
      </c>
      <c r="AZ55" s="1">
        <v>1.47304813202</v>
      </c>
      <c r="BA55" s="1">
        <v>1.42910511149</v>
      </c>
      <c r="BB55" s="1">
        <v>1.57280062255</v>
      </c>
      <c r="BC55" s="1">
        <v>1.52749915347</v>
      </c>
      <c r="BD55" s="1">
        <v>-4.1535055873699998</v>
      </c>
      <c r="BE55" s="1">
        <v>-3.0483460830399999E-2</v>
      </c>
      <c r="BF55" s="1">
        <v>-3.5694882895700002</v>
      </c>
      <c r="BG55" s="1">
        <v>1.02766286598</v>
      </c>
    </row>
    <row r="56" spans="1:59" x14ac:dyDescent="0.3">
      <c r="A56" s="1" t="s">
        <v>138</v>
      </c>
      <c r="B56" s="1" t="s">
        <v>60</v>
      </c>
      <c r="C56" s="1" t="s">
        <v>61</v>
      </c>
      <c r="D56" s="2">
        <v>43396.690462962964</v>
      </c>
      <c r="E56" s="1">
        <v>287.72500000000002</v>
      </c>
      <c r="F56" s="1">
        <v>0.2</v>
      </c>
      <c r="G56" s="1">
        <v>20</v>
      </c>
      <c r="H56" s="1">
        <v>114</v>
      </c>
      <c r="I56" s="1">
        <v>-11.06</v>
      </c>
      <c r="J56" s="1">
        <v>-73.099999999999994</v>
      </c>
      <c r="K56" s="1">
        <v>1.4E-5</v>
      </c>
      <c r="L56" s="1">
        <v>-1</v>
      </c>
      <c r="M56" s="1">
        <v>20</v>
      </c>
      <c r="N56" s="1">
        <v>0.27989813196300001</v>
      </c>
      <c r="O56" s="1">
        <v>-1</v>
      </c>
      <c r="P56" s="1">
        <v>3.6998000000000001E-3</v>
      </c>
      <c r="Q56" s="1" t="s">
        <v>62</v>
      </c>
      <c r="R56" s="1">
        <v>2340</v>
      </c>
      <c r="S56" s="1">
        <v>618.29999999999995</v>
      </c>
      <c r="T56" s="1">
        <v>3754</v>
      </c>
      <c r="U56" s="1">
        <v>6132</v>
      </c>
      <c r="V56" s="1">
        <v>6132</v>
      </c>
      <c r="W56" s="1">
        <v>0.19750000000000001</v>
      </c>
      <c r="X56" s="1">
        <v>5</v>
      </c>
      <c r="Y56" s="1">
        <v>23</v>
      </c>
      <c r="Z56" s="1">
        <v>1</v>
      </c>
      <c r="AA56" s="1">
        <v>7.4999999999999997E-3</v>
      </c>
      <c r="AB56" s="1" t="s">
        <v>63</v>
      </c>
      <c r="AC56" s="1" t="s">
        <v>64</v>
      </c>
      <c r="AD56" s="1">
        <v>40</v>
      </c>
      <c r="AE56" s="1">
        <v>8.6920000000000002</v>
      </c>
      <c r="AF56" s="1">
        <v>200</v>
      </c>
      <c r="AG56" s="1" t="s">
        <v>65</v>
      </c>
      <c r="AH56" s="1" t="s">
        <v>66</v>
      </c>
      <c r="AI56" s="1">
        <v>2.8679999999999999E-6</v>
      </c>
      <c r="AJ56" s="1">
        <v>2</v>
      </c>
      <c r="AK56" s="1">
        <v>4.2399999999999999E-7</v>
      </c>
      <c r="AL56" s="1">
        <v>25.6557754257</v>
      </c>
      <c r="AM56" s="1">
        <v>383.51361521299998</v>
      </c>
      <c r="AN56" s="1">
        <v>0.62027109043100004</v>
      </c>
      <c r="AO56" s="1">
        <v>697350.06973500003</v>
      </c>
      <c r="AP56" s="1">
        <v>-1.69233461461E-3</v>
      </c>
      <c r="AQ56" s="1">
        <v>-2.2976709374799998E-3</v>
      </c>
      <c r="AR56" s="1">
        <v>0.25</v>
      </c>
      <c r="AS56" s="1">
        <v>3.7193625490100002E-3</v>
      </c>
      <c r="AT56" s="1">
        <v>0.277862266365</v>
      </c>
      <c r="AU56" s="1">
        <v>3.6801049763000001E-3</v>
      </c>
      <c r="AV56" s="1">
        <v>0.28082636608400002</v>
      </c>
      <c r="AW56" s="1">
        <v>4</v>
      </c>
      <c r="AX56" s="1">
        <v>3.708050554E-3</v>
      </c>
      <c r="AY56" s="1">
        <v>0.27927395912899999</v>
      </c>
      <c r="AZ56" s="1">
        <v>-0.53517559503599998</v>
      </c>
      <c r="BA56" s="1">
        <v>-0.75936903661300004</v>
      </c>
      <c r="BB56" s="1">
        <v>-0.33053667071999998</v>
      </c>
      <c r="BC56" s="1">
        <v>-0.55279957394400003</v>
      </c>
      <c r="BD56" s="1">
        <v>-3.5542464370600002</v>
      </c>
      <c r="BE56" s="1">
        <v>0.200881606574</v>
      </c>
      <c r="BF56" s="1">
        <v>-3.02856831707</v>
      </c>
      <c r="BG56" s="1">
        <v>0.96307441421399997</v>
      </c>
    </row>
    <row r="57" spans="1:59" x14ac:dyDescent="0.3">
      <c r="A57" s="1" t="s">
        <v>138</v>
      </c>
      <c r="B57" s="1" t="s">
        <v>67</v>
      </c>
      <c r="C57" s="1" t="s">
        <v>68</v>
      </c>
      <c r="D57" s="2">
        <v>43396.667523148149</v>
      </c>
      <c r="E57" s="1">
        <v>287.47500000000002</v>
      </c>
      <c r="F57" s="1">
        <v>0.2</v>
      </c>
      <c r="G57" s="1">
        <v>20</v>
      </c>
      <c r="H57" s="1">
        <v>114</v>
      </c>
      <c r="I57" s="1">
        <v>-11.08</v>
      </c>
      <c r="J57" s="1">
        <v>107.3</v>
      </c>
      <c r="K57" s="1">
        <v>1.5999999999999999E-5</v>
      </c>
      <c r="L57" s="1">
        <v>-1</v>
      </c>
      <c r="M57" s="1">
        <v>20</v>
      </c>
      <c r="N57" s="1">
        <v>0.279254384124</v>
      </c>
      <c r="O57" s="1">
        <v>-1</v>
      </c>
      <c r="P57" s="1">
        <v>3.6836E-3</v>
      </c>
      <c r="Q57" s="1" t="s">
        <v>62</v>
      </c>
      <c r="R57" s="1">
        <v>2338</v>
      </c>
      <c r="S57" s="1">
        <v>605.91999999999996</v>
      </c>
      <c r="T57" s="1">
        <v>3729</v>
      </c>
      <c r="U57" s="1">
        <v>5971</v>
      </c>
      <c r="V57" s="1">
        <v>5971</v>
      </c>
      <c r="W57" s="1">
        <v>0.19750000000000001</v>
      </c>
      <c r="X57" s="1">
        <v>5</v>
      </c>
      <c r="Y57" s="1">
        <v>23</v>
      </c>
      <c r="Z57" s="1">
        <v>1</v>
      </c>
      <c r="AA57" s="1">
        <v>2.12E-2</v>
      </c>
      <c r="AB57" s="1" t="s">
        <v>63</v>
      </c>
      <c r="AC57" s="1" t="s">
        <v>69</v>
      </c>
      <c r="AD57" s="1">
        <v>40</v>
      </c>
      <c r="AE57" s="1">
        <v>8.6920000000000002</v>
      </c>
      <c r="AF57" s="1">
        <v>200</v>
      </c>
      <c r="AG57" s="1" t="s">
        <v>65</v>
      </c>
      <c r="AH57" s="1" t="s">
        <v>70</v>
      </c>
      <c r="AI57" s="1">
        <v>2.8700000000000001E-6</v>
      </c>
      <c r="AJ57" s="1">
        <v>2</v>
      </c>
      <c r="AK57" s="1">
        <v>4.2399999999999999E-7</v>
      </c>
      <c r="AL57" s="1">
        <v>25.6557754257</v>
      </c>
      <c r="AM57" s="1">
        <v>372.98436288699997</v>
      </c>
      <c r="AN57" s="1">
        <v>0.61556701030899996</v>
      </c>
      <c r="AO57" s="1">
        <v>696864.11149799998</v>
      </c>
      <c r="AP57" s="1">
        <v>-1.7108216494799999E-3</v>
      </c>
      <c r="AQ57" s="1">
        <v>-2.3161579723500001E-3</v>
      </c>
      <c r="AR57" s="1">
        <v>0.25</v>
      </c>
      <c r="AS57" s="1">
        <v>3.82702611125E-3</v>
      </c>
      <c r="AT57" s="1">
        <v>0.27004532429599998</v>
      </c>
      <c r="AU57" s="1">
        <v>3.78380856865E-3</v>
      </c>
      <c r="AV57" s="1">
        <v>0.27312970213799997</v>
      </c>
      <c r="AW57" s="1">
        <v>4</v>
      </c>
      <c r="AX57" s="1">
        <v>3.6918144279999999E-3</v>
      </c>
      <c r="AY57" s="1">
        <v>0.27863164684699998</v>
      </c>
      <c r="AZ57" s="1">
        <v>2.64835196689</v>
      </c>
      <c r="BA57" s="1">
        <v>2.4312577917699998</v>
      </c>
      <c r="BB57" s="1">
        <v>2.2424078882699998</v>
      </c>
      <c r="BC57" s="1">
        <v>2.01440731868</v>
      </c>
      <c r="BD57" s="1">
        <v>-3.1344080401599999</v>
      </c>
      <c r="BE57" s="1">
        <v>0.80856579937700002</v>
      </c>
      <c r="BF57" s="1">
        <v>-2.9855322119699998</v>
      </c>
      <c r="BG57" s="1">
        <v>1.4327016856300001</v>
      </c>
    </row>
    <row r="58" spans="1:59" x14ac:dyDescent="0.3">
      <c r="A58" s="1" t="s">
        <v>138</v>
      </c>
      <c r="B58" s="1" t="s">
        <v>71</v>
      </c>
      <c r="C58" s="1" t="s">
        <v>72</v>
      </c>
      <c r="D58" s="2">
        <v>43396.675509259258</v>
      </c>
      <c r="E58" s="1">
        <v>288.47500000000002</v>
      </c>
      <c r="F58" s="1">
        <v>0.2</v>
      </c>
      <c r="G58" s="1">
        <v>20</v>
      </c>
      <c r="H58" s="1">
        <v>114</v>
      </c>
      <c r="I58" s="1">
        <v>-10.97</v>
      </c>
      <c r="J58" s="1">
        <v>-72.599999999999994</v>
      </c>
      <c r="K58" s="1">
        <v>1.9000000000000001E-5</v>
      </c>
      <c r="L58" s="1">
        <v>-1</v>
      </c>
      <c r="M58" s="1">
        <v>20</v>
      </c>
      <c r="N58" s="1">
        <v>0.28281341110500002</v>
      </c>
      <c r="O58" s="1">
        <v>-1</v>
      </c>
      <c r="P58" s="1">
        <v>3.6378999999999999E-3</v>
      </c>
      <c r="Q58" s="1" t="s">
        <v>62</v>
      </c>
      <c r="R58" s="1">
        <v>2342</v>
      </c>
      <c r="S58" s="1">
        <v>613.32000000000005</v>
      </c>
      <c r="T58" s="1">
        <v>3831</v>
      </c>
      <c r="U58" s="1">
        <v>6158</v>
      </c>
      <c r="V58" s="1">
        <v>6158</v>
      </c>
      <c r="W58" s="1">
        <v>0.19750000000000001</v>
      </c>
      <c r="X58" s="1">
        <v>5</v>
      </c>
      <c r="Y58" s="1">
        <v>23</v>
      </c>
      <c r="Z58" s="1">
        <v>1</v>
      </c>
      <c r="AA58" s="1">
        <v>2.75E-2</v>
      </c>
      <c r="AB58" s="1" t="s">
        <v>63</v>
      </c>
      <c r="AC58" s="1" t="s">
        <v>73</v>
      </c>
      <c r="AD58" s="1">
        <v>40</v>
      </c>
      <c r="AE58" s="1">
        <v>8.6920000000000002</v>
      </c>
      <c r="AF58" s="1">
        <v>200</v>
      </c>
      <c r="AG58" s="1" t="s">
        <v>65</v>
      </c>
      <c r="AH58" s="1" t="s">
        <v>74</v>
      </c>
      <c r="AI58" s="1">
        <v>2.8700000000000001E-6</v>
      </c>
      <c r="AJ58" s="1">
        <v>2</v>
      </c>
      <c r="AK58" s="1">
        <v>4.2399999999999999E-7</v>
      </c>
      <c r="AL58" s="1">
        <v>25.6557754257</v>
      </c>
      <c r="AM58" s="1">
        <v>378.09836420099998</v>
      </c>
      <c r="AN58" s="1">
        <v>0.61647812593899998</v>
      </c>
      <c r="AO58" s="1">
        <v>696864.11149799998</v>
      </c>
      <c r="AP58" s="1">
        <v>-1.7072409650600001E-3</v>
      </c>
      <c r="AQ58" s="1">
        <v>-2.3125772879299998E-3</v>
      </c>
      <c r="AR58" s="1">
        <v>0.25</v>
      </c>
      <c r="AS58" s="1">
        <v>3.77526334681E-3</v>
      </c>
      <c r="AT58" s="1">
        <v>0.27374792494299999</v>
      </c>
      <c r="AU58" s="1">
        <v>3.7331683091899998E-3</v>
      </c>
      <c r="AV58" s="1">
        <v>0.276834694208</v>
      </c>
      <c r="AW58" s="1">
        <v>4</v>
      </c>
      <c r="AX58" s="1">
        <v>3.6460125169999998E-3</v>
      </c>
      <c r="AY58" s="1">
        <v>0.28218273719800002</v>
      </c>
      <c r="AZ58" s="1">
        <v>2.5519425137299998</v>
      </c>
      <c r="BA58" s="1">
        <v>2.3346333455399999</v>
      </c>
      <c r="BB58" s="1">
        <v>2.1596703815699998</v>
      </c>
      <c r="BC58" s="1">
        <v>1.93185431662</v>
      </c>
      <c r="BD58" s="1">
        <v>-3.1313884164300001</v>
      </c>
      <c r="BE58" s="1">
        <v>0.81576062148100004</v>
      </c>
      <c r="BF58" s="1">
        <v>-3.2254953884700002</v>
      </c>
      <c r="BG58" s="1">
        <v>1.19986515599</v>
      </c>
    </row>
    <row r="59" spans="1:59" x14ac:dyDescent="0.3">
      <c r="A59" s="1" t="s">
        <v>138</v>
      </c>
      <c r="B59" s="1" t="s">
        <v>75</v>
      </c>
      <c r="C59" s="1" t="s">
        <v>76</v>
      </c>
      <c r="D59" s="2">
        <v>43396.683252314811</v>
      </c>
      <c r="E59" s="1">
        <v>287.57499999999999</v>
      </c>
      <c r="F59" s="1">
        <v>0.2</v>
      </c>
      <c r="G59" s="1">
        <v>20</v>
      </c>
      <c r="H59" s="1">
        <v>114</v>
      </c>
      <c r="I59" s="1">
        <v>-11.1</v>
      </c>
      <c r="J59" s="1">
        <v>-72.7</v>
      </c>
      <c r="K59" s="1">
        <v>1.2999999999999999E-5</v>
      </c>
      <c r="L59" s="1">
        <v>-1</v>
      </c>
      <c r="M59" s="1">
        <v>20</v>
      </c>
      <c r="N59" s="1">
        <v>0.27861211686300003</v>
      </c>
      <c r="O59" s="1">
        <v>-1</v>
      </c>
      <c r="P59" s="1">
        <v>3.6878000000000002E-3</v>
      </c>
      <c r="Q59" s="1" t="s">
        <v>62</v>
      </c>
      <c r="R59" s="1">
        <v>2343</v>
      </c>
      <c r="S59" s="1">
        <v>607.6</v>
      </c>
      <c r="T59" s="1">
        <v>3764</v>
      </c>
      <c r="U59" s="1">
        <v>5910</v>
      </c>
      <c r="V59" s="1">
        <v>5910</v>
      </c>
      <c r="W59" s="1">
        <v>0.19750000000000001</v>
      </c>
      <c r="X59" s="1">
        <v>5</v>
      </c>
      <c r="Y59" s="1">
        <v>23</v>
      </c>
      <c r="Z59" s="1">
        <v>1</v>
      </c>
      <c r="AA59" s="1">
        <v>5.4999999999999997E-3</v>
      </c>
      <c r="AB59" s="1" t="s">
        <v>63</v>
      </c>
      <c r="AC59" s="1" t="s">
        <v>77</v>
      </c>
      <c r="AD59" s="1">
        <v>40</v>
      </c>
      <c r="AE59" s="1">
        <v>8.6920000000000002</v>
      </c>
      <c r="AF59" s="1">
        <v>200</v>
      </c>
      <c r="AG59" s="1" t="s">
        <v>65</v>
      </c>
      <c r="AH59" s="1" t="s">
        <v>78</v>
      </c>
      <c r="AI59" s="1">
        <v>2.8700000000000001E-6</v>
      </c>
      <c r="AJ59" s="1">
        <v>2</v>
      </c>
      <c r="AK59" s="1">
        <v>4.2399999999999999E-7</v>
      </c>
      <c r="AL59" s="1">
        <v>25.6557754257</v>
      </c>
      <c r="AM59" s="1">
        <v>371.19247467399998</v>
      </c>
      <c r="AN59" s="1">
        <v>0.61091585693600003</v>
      </c>
      <c r="AO59" s="1">
        <v>696864.11149799998</v>
      </c>
      <c r="AP59" s="1">
        <v>-1.7291006822400001E-3</v>
      </c>
      <c r="AQ59" s="1">
        <v>-2.3344370051100001E-3</v>
      </c>
      <c r="AR59" s="1">
        <v>0.25</v>
      </c>
      <c r="AS59" s="1">
        <v>3.8455006317299999E-3</v>
      </c>
      <c r="AT59" s="1">
        <v>0.26874797491199998</v>
      </c>
      <c r="AU59" s="1">
        <v>3.7992894359599998E-3</v>
      </c>
      <c r="AV59" s="1">
        <v>0.27201678754000003</v>
      </c>
      <c r="AW59" s="1">
        <v>4</v>
      </c>
      <c r="AX59" s="1">
        <v>3.696023794E-3</v>
      </c>
      <c r="AY59" s="1">
        <v>0.27799081184199997</v>
      </c>
      <c r="AZ59" s="1">
        <v>2.9344812454000002</v>
      </c>
      <c r="BA59" s="1">
        <v>2.7180251385799998</v>
      </c>
      <c r="BB59" s="1">
        <v>2.4246037838399999</v>
      </c>
      <c r="BC59" s="1">
        <v>2.1961969174</v>
      </c>
      <c r="BD59" s="1">
        <v>-0.99492288327</v>
      </c>
      <c r="BE59" s="1">
        <v>3.0305221000100002</v>
      </c>
      <c r="BF59" s="1">
        <v>-1.90421555523</v>
      </c>
      <c r="BG59" s="1">
        <v>2.4739122674299998</v>
      </c>
    </row>
    <row r="60" spans="1:59" x14ac:dyDescent="0.3">
      <c r="A60" s="1" t="s">
        <v>138</v>
      </c>
      <c r="B60" s="1" t="s">
        <v>79</v>
      </c>
      <c r="C60" s="1" t="s">
        <v>80</v>
      </c>
      <c r="D60" s="2">
        <v>43396.68445601852</v>
      </c>
      <c r="E60" s="1">
        <v>287.97500000000002</v>
      </c>
      <c r="F60" s="1">
        <v>0.2</v>
      </c>
      <c r="G60" s="1">
        <v>20</v>
      </c>
      <c r="H60" s="1">
        <v>114</v>
      </c>
      <c r="I60" s="1">
        <v>-10.8</v>
      </c>
      <c r="J60" s="1">
        <v>-72.5</v>
      </c>
      <c r="K60" s="1">
        <v>1.2999999999999999E-5</v>
      </c>
      <c r="L60" s="1">
        <v>-1</v>
      </c>
      <c r="M60" s="1">
        <v>20</v>
      </c>
      <c r="N60" s="1">
        <v>0.28840315031300001</v>
      </c>
      <c r="O60" s="1">
        <v>-1</v>
      </c>
      <c r="P60" s="1">
        <v>3.5937999999999999E-3</v>
      </c>
      <c r="Q60" s="1" t="s">
        <v>62</v>
      </c>
      <c r="R60" s="1">
        <v>831</v>
      </c>
      <c r="S60" s="1">
        <v>619.12</v>
      </c>
      <c r="T60" s="1">
        <v>3646</v>
      </c>
      <c r="U60" s="1">
        <v>6239</v>
      </c>
      <c r="V60" s="1">
        <v>6239</v>
      </c>
      <c r="W60" s="1">
        <v>0.19750000000000001</v>
      </c>
      <c r="X60" s="1">
        <v>5</v>
      </c>
      <c r="Y60" s="1">
        <v>23</v>
      </c>
      <c r="Z60" s="1">
        <v>1</v>
      </c>
      <c r="AA60" s="1">
        <v>1.95E-2</v>
      </c>
      <c r="AB60" s="1" t="s">
        <v>63</v>
      </c>
      <c r="AC60" s="1" t="s">
        <v>81</v>
      </c>
      <c r="AD60" s="1">
        <v>40</v>
      </c>
      <c r="AE60" s="1">
        <v>8.6920000000000002</v>
      </c>
      <c r="AF60" s="1">
        <v>200</v>
      </c>
      <c r="AG60" s="1" t="s">
        <v>65</v>
      </c>
      <c r="AH60" s="1" t="s">
        <v>82</v>
      </c>
      <c r="AI60" s="1">
        <v>2.869E-6</v>
      </c>
      <c r="AJ60" s="1">
        <v>2</v>
      </c>
      <c r="AK60" s="1">
        <v>4.2399999999999999E-7</v>
      </c>
      <c r="AL60" s="1">
        <v>25.6557754257</v>
      </c>
      <c r="AM60" s="1">
        <v>390.76273950400002</v>
      </c>
      <c r="AN60" s="1">
        <v>0.63115832068800004</v>
      </c>
      <c r="AO60" s="1">
        <v>697107.00592499995</v>
      </c>
      <c r="AP60" s="1">
        <v>-1.6495477996999999E-3</v>
      </c>
      <c r="AQ60" s="1">
        <v>-2.2548841225700001E-3</v>
      </c>
      <c r="AR60" s="1">
        <v>0.25</v>
      </c>
      <c r="AS60" s="1">
        <v>3.6516366388200001E-3</v>
      </c>
      <c r="AT60" s="1">
        <v>0.283015702142</v>
      </c>
      <c r="AU60" s="1">
        <v>3.6194000887599998E-3</v>
      </c>
      <c r="AV60" s="1">
        <v>0.28553640989000001</v>
      </c>
      <c r="AW60" s="1">
        <v>4</v>
      </c>
      <c r="AX60" s="1">
        <v>3.6018141739999998E-3</v>
      </c>
      <c r="AY60" s="1">
        <v>0.28776001128700002</v>
      </c>
      <c r="AZ60" s="1">
        <v>0.70730198751899998</v>
      </c>
      <c r="BA60" s="1">
        <v>0.48587927095099998</v>
      </c>
      <c r="BB60" s="1">
        <v>1.00398419366</v>
      </c>
      <c r="BC60" s="1">
        <v>0.77874530890399996</v>
      </c>
      <c r="BD60" s="1">
        <v>-1.65220750769</v>
      </c>
      <c r="BE60" s="1">
        <v>2.24162352904</v>
      </c>
      <c r="BF60" s="1">
        <v>-1.2872704078199999</v>
      </c>
      <c r="BG60" s="1">
        <v>2.7987602151200002</v>
      </c>
    </row>
    <row r="61" spans="1:59" x14ac:dyDescent="0.3">
      <c r="A61" s="1" t="s">
        <v>138</v>
      </c>
      <c r="B61" s="1" t="s">
        <v>83</v>
      </c>
      <c r="C61" s="1" t="s">
        <v>84</v>
      </c>
      <c r="D61" s="2">
        <v>43396.686192129629</v>
      </c>
      <c r="E61" s="1">
        <v>288.625</v>
      </c>
      <c r="F61" s="1">
        <v>0.2</v>
      </c>
      <c r="G61" s="1">
        <v>20</v>
      </c>
      <c r="H61" s="1">
        <v>114</v>
      </c>
      <c r="I61" s="1">
        <v>-10.77</v>
      </c>
      <c r="J61" s="1">
        <v>107.6</v>
      </c>
      <c r="K61" s="1">
        <v>1.4E-5</v>
      </c>
      <c r="L61" s="1">
        <v>-1</v>
      </c>
      <c r="M61" s="1">
        <v>20</v>
      </c>
      <c r="N61" s="1">
        <v>0.28940098170700002</v>
      </c>
      <c r="O61" s="1">
        <v>-1</v>
      </c>
      <c r="P61" s="1">
        <v>3.5726E-3</v>
      </c>
      <c r="Q61" s="1" t="s">
        <v>62</v>
      </c>
      <c r="R61" s="1">
        <v>2345</v>
      </c>
      <c r="S61" s="1">
        <v>620.79</v>
      </c>
      <c r="T61" s="1">
        <v>3746</v>
      </c>
      <c r="U61" s="1">
        <v>6277</v>
      </c>
      <c r="V61" s="1">
        <v>6277</v>
      </c>
      <c r="W61" s="1">
        <v>0.19750000000000001</v>
      </c>
      <c r="X61" s="1">
        <v>5</v>
      </c>
      <c r="Y61" s="1">
        <v>23</v>
      </c>
      <c r="Z61" s="1">
        <v>1</v>
      </c>
      <c r="AA61" s="1">
        <v>2.2599999999999999E-2</v>
      </c>
      <c r="AB61" s="1" t="s">
        <v>63</v>
      </c>
      <c r="AC61" s="1" t="s">
        <v>85</v>
      </c>
      <c r="AD61" s="1">
        <v>40</v>
      </c>
      <c r="AE61" s="1">
        <v>8.6920000000000002</v>
      </c>
      <c r="AF61" s="1">
        <v>200</v>
      </c>
      <c r="AG61" s="1" t="s">
        <v>65</v>
      </c>
      <c r="AH61" s="1" t="s">
        <v>86</v>
      </c>
      <c r="AI61" s="1">
        <v>2.869E-6</v>
      </c>
      <c r="AJ61" s="1">
        <v>2</v>
      </c>
      <c r="AK61" s="1">
        <v>4.2399999999999999E-7</v>
      </c>
      <c r="AL61" s="1">
        <v>25.6557754257</v>
      </c>
      <c r="AM61" s="1">
        <v>388.77569889300003</v>
      </c>
      <c r="AN61" s="1">
        <v>0.62625960291299998</v>
      </c>
      <c r="AO61" s="1">
        <v>697107.00592499995</v>
      </c>
      <c r="AP61" s="1">
        <v>-1.66879976055E-3</v>
      </c>
      <c r="AQ61" s="1">
        <v>-2.27413608342E-3</v>
      </c>
      <c r="AR61" s="1">
        <v>0.25</v>
      </c>
      <c r="AS61" s="1">
        <v>3.6703002289599999E-3</v>
      </c>
      <c r="AT61" s="1">
        <v>0.281576558546</v>
      </c>
      <c r="AU61" s="1">
        <v>3.6350333369199999E-3</v>
      </c>
      <c r="AV61" s="1">
        <v>0.28430839871699998</v>
      </c>
      <c r="AW61" s="1">
        <v>4</v>
      </c>
      <c r="AX61" s="1">
        <v>3.5805668980000002E-3</v>
      </c>
      <c r="AY61" s="1">
        <v>0.28875561751700002</v>
      </c>
      <c r="AZ61" s="1">
        <v>1.7175450988400001</v>
      </c>
      <c r="BA61" s="1">
        <v>1.4983752244099999</v>
      </c>
      <c r="BB61" s="1">
        <v>1.7912179213099999</v>
      </c>
      <c r="BC61" s="1">
        <v>1.56422350535</v>
      </c>
      <c r="BD61" s="1">
        <v>-3.0701231503600002</v>
      </c>
      <c r="BE61" s="1">
        <v>0.76608582147399995</v>
      </c>
      <c r="BF61" s="1">
        <v>-2.6111408151600002</v>
      </c>
      <c r="BG61" s="1">
        <v>1.6086744345399999</v>
      </c>
    </row>
    <row r="62" spans="1:59" x14ac:dyDescent="0.3">
      <c r="A62" s="1" t="s">
        <v>138</v>
      </c>
      <c r="B62" s="1" t="s">
        <v>87</v>
      </c>
      <c r="C62" s="1" t="s">
        <v>88</v>
      </c>
      <c r="D62" s="2">
        <v>43396.687407407408</v>
      </c>
      <c r="E62" s="1">
        <v>287.57499999999999</v>
      </c>
      <c r="F62" s="1">
        <v>0.2</v>
      </c>
      <c r="G62" s="1">
        <v>20</v>
      </c>
      <c r="H62" s="1">
        <v>114</v>
      </c>
      <c r="I62" s="1">
        <v>-10.29</v>
      </c>
      <c r="J62" s="1">
        <v>-72.5</v>
      </c>
      <c r="K62" s="1">
        <v>1.5E-5</v>
      </c>
      <c r="L62" s="1">
        <v>-1</v>
      </c>
      <c r="M62" s="1">
        <v>20</v>
      </c>
      <c r="N62" s="1">
        <v>0.30584402465100002</v>
      </c>
      <c r="O62" s="1">
        <v>-1</v>
      </c>
      <c r="P62" s="1">
        <v>3.3587000000000001E-3</v>
      </c>
      <c r="Q62" s="1" t="s">
        <v>62</v>
      </c>
      <c r="R62" s="1">
        <v>2347</v>
      </c>
      <c r="S62" s="1">
        <v>639.15</v>
      </c>
      <c r="T62" s="1">
        <v>3957</v>
      </c>
      <c r="U62" s="1">
        <v>6665</v>
      </c>
      <c r="V62" s="1">
        <v>6665</v>
      </c>
      <c r="W62" s="1">
        <v>0.19750000000000001</v>
      </c>
      <c r="X62" s="1">
        <v>5</v>
      </c>
      <c r="Y62" s="1">
        <v>23</v>
      </c>
      <c r="Z62" s="1">
        <v>1</v>
      </c>
      <c r="AA62" s="1">
        <v>2.4199999999999999E-2</v>
      </c>
      <c r="AB62" s="1" t="s">
        <v>63</v>
      </c>
      <c r="AC62" s="1" t="s">
        <v>89</v>
      </c>
      <c r="AD62" s="1">
        <v>40</v>
      </c>
      <c r="AE62" s="1">
        <v>8.6920000000000002</v>
      </c>
      <c r="AF62" s="1">
        <v>200</v>
      </c>
      <c r="AG62" s="1" t="s">
        <v>65</v>
      </c>
      <c r="AH62" s="1" t="s">
        <v>90</v>
      </c>
      <c r="AI62" s="1">
        <v>2.869E-6</v>
      </c>
      <c r="AJ62" s="1">
        <v>2</v>
      </c>
      <c r="AK62" s="1">
        <v>4.2399999999999999E-7</v>
      </c>
      <c r="AL62" s="1">
        <v>25.6557754257</v>
      </c>
      <c r="AM62" s="1">
        <v>401.04827245299998</v>
      </c>
      <c r="AN62" s="1">
        <v>0.62747128601000002</v>
      </c>
      <c r="AO62" s="1">
        <v>697107.00592499995</v>
      </c>
      <c r="AP62" s="1">
        <v>-1.66403784598E-3</v>
      </c>
      <c r="AQ62" s="1">
        <v>-2.2693741688500002E-3</v>
      </c>
      <c r="AR62" s="1">
        <v>0.25</v>
      </c>
      <c r="AS62" s="1">
        <v>3.5579844988000001E-3</v>
      </c>
      <c r="AT62" s="1">
        <v>0.29046515173199999</v>
      </c>
      <c r="AU62" s="1">
        <v>3.5244849460000002E-3</v>
      </c>
      <c r="AV62" s="1">
        <v>0.29322596723599997</v>
      </c>
      <c r="AW62" s="1">
        <v>4</v>
      </c>
      <c r="AX62" s="1">
        <v>3.3661899010000002E-3</v>
      </c>
      <c r="AY62" s="1">
        <v>0.30516199247600001</v>
      </c>
      <c r="AZ62" s="1">
        <v>4.70380633038</v>
      </c>
      <c r="BA62" s="1">
        <v>4.4912958184900003</v>
      </c>
      <c r="BB62" s="1">
        <v>4.3031855376000001</v>
      </c>
      <c r="BC62" s="1">
        <v>4.0705894338500004</v>
      </c>
      <c r="BD62" s="1">
        <v>-2.5450527204500002</v>
      </c>
      <c r="BE62" s="1">
        <v>1.19298611412</v>
      </c>
      <c r="BF62" s="1">
        <v>-3.0457080057599999</v>
      </c>
      <c r="BG62" s="1">
        <v>1.2940073131900001</v>
      </c>
    </row>
    <row r="63" spans="1:59" x14ac:dyDescent="0.3">
      <c r="A63" s="1" t="s">
        <v>138</v>
      </c>
      <c r="B63" s="1" t="s">
        <v>91</v>
      </c>
      <c r="C63" s="1" t="s">
        <v>136</v>
      </c>
      <c r="D63" s="2">
        <v>43396.688368055555</v>
      </c>
      <c r="E63" s="1">
        <v>286.97500000000002</v>
      </c>
      <c r="F63" s="1">
        <v>0.2</v>
      </c>
      <c r="G63" s="1">
        <v>20</v>
      </c>
      <c r="H63" s="1">
        <v>113</v>
      </c>
      <c r="I63" s="1">
        <v>-10.9</v>
      </c>
      <c r="J63" s="1">
        <v>-72.599999999999994</v>
      </c>
      <c r="K63" s="1">
        <v>1.5E-5</v>
      </c>
      <c r="L63" s="1">
        <v>-1</v>
      </c>
      <c r="M63" s="1">
        <v>20</v>
      </c>
      <c r="N63" s="1">
        <v>0.28510182675000001</v>
      </c>
      <c r="O63" s="1">
        <v>-1</v>
      </c>
      <c r="P63" s="1">
        <v>3.6001000000000002E-3</v>
      </c>
      <c r="Q63" s="1" t="s">
        <v>62</v>
      </c>
      <c r="R63" s="1">
        <v>2493</v>
      </c>
      <c r="S63" s="1">
        <v>621.46</v>
      </c>
      <c r="T63" s="1">
        <v>3761</v>
      </c>
      <c r="U63" s="1">
        <v>6296</v>
      </c>
      <c r="V63" s="1">
        <v>6296</v>
      </c>
      <c r="W63" s="1">
        <v>0.19750000000000001</v>
      </c>
      <c r="X63" s="1">
        <v>5</v>
      </c>
      <c r="Y63" s="1">
        <v>23</v>
      </c>
      <c r="Z63" s="1">
        <v>1</v>
      </c>
      <c r="AA63" s="1">
        <v>2.3400000000000001E-2</v>
      </c>
      <c r="AB63" s="1" t="s">
        <v>63</v>
      </c>
      <c r="AC63" s="1" t="s">
        <v>93</v>
      </c>
      <c r="AD63" s="1">
        <v>40</v>
      </c>
      <c r="AE63" s="1">
        <v>8.6920000000000002</v>
      </c>
      <c r="AF63" s="1">
        <v>200</v>
      </c>
      <c r="AG63" s="1" t="s">
        <v>65</v>
      </c>
      <c r="AH63" s="1" t="s">
        <v>94</v>
      </c>
      <c r="AI63" s="1">
        <v>2.8729999999999999E-6</v>
      </c>
      <c r="AJ63" s="1">
        <v>2</v>
      </c>
      <c r="AK63" s="1">
        <v>4.2399999999999999E-7</v>
      </c>
      <c r="AL63" s="1">
        <v>25.6557754257</v>
      </c>
      <c r="AM63" s="1">
        <v>389.05361042099997</v>
      </c>
      <c r="AN63" s="1">
        <v>0.62603161976699995</v>
      </c>
      <c r="AO63" s="1">
        <v>696136.44274299999</v>
      </c>
      <c r="AP63" s="1">
        <v>-1.6696957343100001E-3</v>
      </c>
      <c r="AQ63" s="1">
        <v>-2.2750320571800001E-3</v>
      </c>
      <c r="AR63" s="1">
        <v>0.25</v>
      </c>
      <c r="AS63" s="1">
        <v>3.67279196279E-3</v>
      </c>
      <c r="AT63" s="1">
        <v>0.28138552844100001</v>
      </c>
      <c r="AU63" s="1">
        <v>3.63737257517E-3</v>
      </c>
      <c r="AV63" s="1">
        <v>0.28412555654999999</v>
      </c>
      <c r="AW63" s="1">
        <v>4</v>
      </c>
      <c r="AX63" s="1">
        <v>3.6081282229999999E-3</v>
      </c>
      <c r="AY63" s="1">
        <v>0.28446604967700001</v>
      </c>
      <c r="AZ63" s="1">
        <v>1.02471150267</v>
      </c>
      <c r="BA63" s="1">
        <v>0.80399660932200001</v>
      </c>
      <c r="BB63" s="1">
        <v>0.34360520463599997</v>
      </c>
      <c r="BC63" s="1">
        <v>0.119838965029</v>
      </c>
      <c r="BD63" s="1">
        <v>-3.2743415071899999</v>
      </c>
      <c r="BE63" s="1">
        <v>0.58113403461299995</v>
      </c>
      <c r="BF63" s="1">
        <v>-3.5262916993100002</v>
      </c>
      <c r="BG63" s="1">
        <v>0.674072579916</v>
      </c>
    </row>
    <row r="64" spans="1:59" x14ac:dyDescent="0.3">
      <c r="A64" s="1" t="s">
        <v>138</v>
      </c>
      <c r="B64" s="1" t="s">
        <v>95</v>
      </c>
      <c r="C64" s="1" t="s">
        <v>96</v>
      </c>
      <c r="D64" s="2">
        <v>43396.689456018517</v>
      </c>
      <c r="E64" s="1">
        <v>288.52499999999998</v>
      </c>
      <c r="F64" s="1">
        <v>0.2</v>
      </c>
      <c r="G64" s="1">
        <v>20</v>
      </c>
      <c r="H64" s="1">
        <v>114</v>
      </c>
      <c r="I64" s="1">
        <v>-11.15</v>
      </c>
      <c r="J64" s="1">
        <v>107.3</v>
      </c>
      <c r="K64" s="1">
        <v>1.4E-5</v>
      </c>
      <c r="L64" s="1">
        <v>-1</v>
      </c>
      <c r="M64" s="1">
        <v>20</v>
      </c>
      <c r="N64" s="1">
        <v>0.27701290391599998</v>
      </c>
      <c r="O64" s="1">
        <v>-1</v>
      </c>
      <c r="P64" s="1">
        <v>3.718E-3</v>
      </c>
      <c r="Q64" s="1" t="s">
        <v>62</v>
      </c>
      <c r="R64" s="1">
        <v>2348</v>
      </c>
      <c r="S64" s="1">
        <v>601.74</v>
      </c>
      <c r="T64" s="1">
        <v>3754</v>
      </c>
      <c r="U64" s="1">
        <v>5886</v>
      </c>
      <c r="V64" s="1">
        <v>5886</v>
      </c>
      <c r="W64" s="1">
        <v>0.19750000000000001</v>
      </c>
      <c r="X64" s="1">
        <v>5</v>
      </c>
      <c r="Y64" s="1">
        <v>23</v>
      </c>
      <c r="Z64" s="1">
        <v>1</v>
      </c>
      <c r="AA64" s="1">
        <v>2.07E-2</v>
      </c>
      <c r="AB64" s="1" t="s">
        <v>63</v>
      </c>
      <c r="AC64" s="1" t="s">
        <v>97</v>
      </c>
      <c r="AD64" s="1">
        <v>40</v>
      </c>
      <c r="AE64" s="1">
        <v>8.6920000000000002</v>
      </c>
      <c r="AF64" s="1">
        <v>200</v>
      </c>
      <c r="AG64" s="1" t="s">
        <v>65</v>
      </c>
      <c r="AH64" s="1" t="s">
        <v>98</v>
      </c>
      <c r="AI64" s="1">
        <v>2.8650000000000001E-6</v>
      </c>
      <c r="AJ64" s="1">
        <v>2</v>
      </c>
      <c r="AK64" s="1">
        <v>4.2399999999999999E-7</v>
      </c>
      <c r="AL64" s="1">
        <v>25.6557754257</v>
      </c>
      <c r="AM64" s="1">
        <v>367.41095850599999</v>
      </c>
      <c r="AN64" s="1">
        <v>0.61058091286299998</v>
      </c>
      <c r="AO64" s="1">
        <v>698080.279232</v>
      </c>
      <c r="AP64" s="1">
        <v>-1.73041701245E-3</v>
      </c>
      <c r="AQ64" s="1">
        <v>-2.3357533353199999E-3</v>
      </c>
      <c r="AR64" s="1">
        <v>0.25</v>
      </c>
      <c r="AS64" s="1">
        <v>3.8783113755300001E-3</v>
      </c>
      <c r="AT64" s="1">
        <v>0.26647435113700002</v>
      </c>
      <c r="AU64" s="1">
        <v>3.8315059108600001E-3</v>
      </c>
      <c r="AV64" s="1">
        <v>0.26972958709799999</v>
      </c>
      <c r="AW64" s="1">
        <v>4</v>
      </c>
      <c r="AX64" s="1">
        <v>3.7262911399999999E-3</v>
      </c>
      <c r="AY64" s="1">
        <v>0.27639516514099999</v>
      </c>
      <c r="AZ64" s="1">
        <v>2.9624360108999999</v>
      </c>
      <c r="BA64" s="1">
        <v>2.7460422431999998</v>
      </c>
      <c r="BB64" s="1">
        <v>2.7002291058800001</v>
      </c>
      <c r="BC64" s="1">
        <v>2.4712075949800001</v>
      </c>
      <c r="BD64" s="1">
        <v>-2.7926356500399998</v>
      </c>
      <c r="BE64" s="1">
        <v>1.00514481501</v>
      </c>
      <c r="BF64" s="1">
        <v>-2.63445870303</v>
      </c>
      <c r="BG64" s="1">
        <v>1.62304014391</v>
      </c>
    </row>
    <row r="65" spans="1:59" x14ac:dyDescent="0.3">
      <c r="A65" s="1" t="s">
        <v>138</v>
      </c>
      <c r="B65" s="1" t="s">
        <v>99</v>
      </c>
      <c r="C65" s="1" t="s">
        <v>100</v>
      </c>
      <c r="D65" s="2">
        <v>43396.722615740742</v>
      </c>
      <c r="E65" s="1">
        <v>287.97500000000002</v>
      </c>
      <c r="F65" s="1">
        <v>0.2</v>
      </c>
      <c r="G65" s="1">
        <v>20</v>
      </c>
      <c r="H65" s="1">
        <v>114</v>
      </c>
      <c r="I65" s="1">
        <v>-10.59</v>
      </c>
      <c r="J65" s="1">
        <v>-72.7</v>
      </c>
      <c r="K65" s="1">
        <v>1.2E-5</v>
      </c>
      <c r="L65" s="1">
        <v>0.1</v>
      </c>
      <c r="M65" s="1">
        <v>20</v>
      </c>
      <c r="N65" s="1">
        <v>0.29546088884799998</v>
      </c>
      <c r="O65" s="1">
        <v>0.1</v>
      </c>
      <c r="P65" s="1">
        <v>3.4665999999999998E-3</v>
      </c>
      <c r="Q65" s="1" t="s">
        <v>62</v>
      </c>
      <c r="R65" s="1">
        <v>1192</v>
      </c>
      <c r="S65" s="1">
        <v>619.20000000000005</v>
      </c>
      <c r="T65" s="1">
        <v>3774</v>
      </c>
      <c r="U65" s="1">
        <v>6249</v>
      </c>
      <c r="V65" s="1">
        <v>6249</v>
      </c>
      <c r="W65" s="1">
        <v>0.19750000000000001</v>
      </c>
      <c r="X65" s="1">
        <v>5</v>
      </c>
      <c r="Y65" s="1">
        <v>23</v>
      </c>
      <c r="Z65" s="1">
        <v>1</v>
      </c>
      <c r="AA65" s="1">
        <v>2.3300000000000001E-2</v>
      </c>
      <c r="AB65" s="1" t="s">
        <v>63</v>
      </c>
      <c r="AC65" s="1" t="s">
        <v>101</v>
      </c>
      <c r="AD65" s="1">
        <v>40</v>
      </c>
      <c r="AE65" s="1">
        <v>8.6920000000000002</v>
      </c>
      <c r="AF65" s="1">
        <v>200</v>
      </c>
      <c r="AG65" s="1" t="s">
        <v>65</v>
      </c>
      <c r="AH65" s="1" t="s">
        <v>102</v>
      </c>
      <c r="AI65" s="1">
        <v>2.8669999999999998E-6</v>
      </c>
      <c r="AJ65" s="1">
        <v>2</v>
      </c>
      <c r="AK65" s="1">
        <v>4.2399999999999999E-7</v>
      </c>
      <c r="AL65" s="1">
        <v>25.6557754257</v>
      </c>
      <c r="AM65" s="1">
        <v>386.05016462100002</v>
      </c>
      <c r="AN65" s="1">
        <v>0.62346602813499996</v>
      </c>
      <c r="AO65" s="1">
        <v>697593.30310400005</v>
      </c>
      <c r="AP65" s="1">
        <v>-1.67977850943E-3</v>
      </c>
      <c r="AQ65" s="1">
        <v>-2.2851148323000002E-3</v>
      </c>
      <c r="AR65" s="1">
        <v>0.25</v>
      </c>
      <c r="AS65" s="1">
        <v>3.6936360839600001E-3</v>
      </c>
      <c r="AT65" s="1">
        <v>0.27979759884599997</v>
      </c>
      <c r="AU65" s="1">
        <v>3.6565157529700001E-3</v>
      </c>
      <c r="AV65" s="1">
        <v>0.282638056862</v>
      </c>
      <c r="AW65" s="1">
        <v>4</v>
      </c>
      <c r="AX65" s="1">
        <v>3.4658269481999998E-3</v>
      </c>
      <c r="AY65" s="1">
        <v>0.29552677662600002</v>
      </c>
      <c r="AZ65" s="1">
        <v>5.1938994878300004</v>
      </c>
      <c r="BA65" s="1">
        <v>5.2150412482400004</v>
      </c>
      <c r="BB65" s="1">
        <v>4.5368384317099997</v>
      </c>
      <c r="BC65" s="1">
        <v>4.5601501466799998</v>
      </c>
      <c r="BD65" s="1">
        <v>-1.3291341616800001</v>
      </c>
      <c r="BE65" s="1">
        <v>3.6740494743099998</v>
      </c>
      <c r="BF65" s="1">
        <v>-2.6815712700100001</v>
      </c>
      <c r="BG65" s="1">
        <v>3.0561600268400002</v>
      </c>
    </row>
    <row r="66" spans="1:59" x14ac:dyDescent="0.3">
      <c r="A66" s="1" t="s">
        <v>138</v>
      </c>
      <c r="B66" s="1" t="s">
        <v>103</v>
      </c>
      <c r="C66" s="1" t="s">
        <v>104</v>
      </c>
      <c r="D66" s="2">
        <v>43396.72384259259</v>
      </c>
      <c r="E66" s="1">
        <v>288.47500000000002</v>
      </c>
      <c r="F66" s="1">
        <v>0.2</v>
      </c>
      <c r="G66" s="1">
        <v>20</v>
      </c>
      <c r="H66" s="1">
        <v>114</v>
      </c>
      <c r="I66" s="1">
        <v>-10.53</v>
      </c>
      <c r="J66" s="1">
        <v>-72.400000000000006</v>
      </c>
      <c r="K66" s="1">
        <v>1.5999999999999999E-5</v>
      </c>
      <c r="L66" s="1">
        <v>0.1</v>
      </c>
      <c r="M66" s="1">
        <v>20</v>
      </c>
      <c r="N66" s="1">
        <v>0.29750892588799999</v>
      </c>
      <c r="O66" s="1">
        <v>0.1</v>
      </c>
      <c r="P66" s="1">
        <v>3.4715000000000002E-3</v>
      </c>
      <c r="Q66" s="1" t="s">
        <v>62</v>
      </c>
      <c r="R66" s="1">
        <v>832</v>
      </c>
      <c r="S66" s="1">
        <v>628.26</v>
      </c>
      <c r="T66" s="1">
        <v>3591</v>
      </c>
      <c r="U66" s="1">
        <v>6355</v>
      </c>
      <c r="V66" s="1">
        <v>6355</v>
      </c>
      <c r="W66" s="1">
        <v>0.19750000000000001</v>
      </c>
      <c r="X66" s="1">
        <v>5</v>
      </c>
      <c r="Y66" s="1">
        <v>23</v>
      </c>
      <c r="Z66" s="1">
        <v>1</v>
      </c>
      <c r="AA66" s="1">
        <v>1.12E-2</v>
      </c>
      <c r="AB66" s="1" t="s">
        <v>63</v>
      </c>
      <c r="AC66" s="1" t="s">
        <v>105</v>
      </c>
      <c r="AD66" s="1">
        <v>40</v>
      </c>
      <c r="AE66" s="1">
        <v>8.6920000000000002</v>
      </c>
      <c r="AF66" s="1">
        <v>200</v>
      </c>
      <c r="AG66" s="1" t="s">
        <v>65</v>
      </c>
      <c r="AH66" s="1" t="s">
        <v>106</v>
      </c>
      <c r="AI66" s="1">
        <v>2.8669999999999998E-6</v>
      </c>
      <c r="AJ66" s="1">
        <v>2</v>
      </c>
      <c r="AK66" s="1">
        <v>4.2399999999999999E-7</v>
      </c>
      <c r="AL66" s="1">
        <v>25.6557754257</v>
      </c>
      <c r="AM66" s="1">
        <v>401.42693545100002</v>
      </c>
      <c r="AN66" s="1">
        <v>0.638950331792</v>
      </c>
      <c r="AO66" s="1">
        <v>697593.30310400005</v>
      </c>
      <c r="AP66" s="1">
        <v>-1.6189251960600001E-3</v>
      </c>
      <c r="AQ66" s="1">
        <v>-2.22426151893E-3</v>
      </c>
      <c r="AR66" s="1">
        <v>0.25</v>
      </c>
      <c r="AS66" s="1">
        <v>3.5521503226000001E-3</v>
      </c>
      <c r="AT66" s="1">
        <v>0.29094222187800001</v>
      </c>
      <c r="AU66" s="1">
        <v>3.52524020478E-3</v>
      </c>
      <c r="AV66" s="1">
        <v>0.29316314556400003</v>
      </c>
      <c r="AW66" s="1">
        <v>4</v>
      </c>
      <c r="AX66" s="1">
        <v>3.4707258554999999E-3</v>
      </c>
      <c r="AY66" s="1">
        <v>0.297575270379</v>
      </c>
      <c r="AZ66" s="1">
        <v>1.52444093621</v>
      </c>
      <c r="BA66" s="1">
        <v>1.5464009858800001</v>
      </c>
      <c r="BB66" s="1">
        <v>1.4823760728299999</v>
      </c>
      <c r="BC66" s="1">
        <v>1.50500664269</v>
      </c>
      <c r="BD66" s="1">
        <v>-2.7374021171399998</v>
      </c>
      <c r="BE66" s="1">
        <v>2.1309191753299999</v>
      </c>
      <c r="BF66" s="1">
        <v>-2.48345441263</v>
      </c>
      <c r="BG66" s="1">
        <v>2.8020304622399999</v>
      </c>
    </row>
    <row r="67" spans="1:59" x14ac:dyDescent="0.3">
      <c r="A67" s="1" t="s">
        <v>138</v>
      </c>
      <c r="B67" s="1" t="s">
        <v>107</v>
      </c>
      <c r="C67" s="1" t="s">
        <v>108</v>
      </c>
      <c r="D67" s="2">
        <v>43396.724849537037</v>
      </c>
      <c r="E67" s="1">
        <v>287.97500000000002</v>
      </c>
      <c r="F67" s="1">
        <v>0.2</v>
      </c>
      <c r="G67" s="1">
        <v>20</v>
      </c>
      <c r="H67" s="1">
        <v>114</v>
      </c>
      <c r="I67" s="1">
        <v>-11.82</v>
      </c>
      <c r="J67" s="1">
        <v>-73</v>
      </c>
      <c r="K67" s="1">
        <v>1.1E-5</v>
      </c>
      <c r="L67" s="1">
        <v>0.1</v>
      </c>
      <c r="M67" s="1">
        <v>20</v>
      </c>
      <c r="N67" s="1">
        <v>0.256448403652</v>
      </c>
      <c r="O67" s="1">
        <v>0.1</v>
      </c>
      <c r="P67" s="1">
        <v>4.0594999999999997E-3</v>
      </c>
      <c r="Q67" s="1" t="s">
        <v>62</v>
      </c>
      <c r="R67" s="1">
        <v>822</v>
      </c>
      <c r="S67" s="1">
        <v>619.91999999999996</v>
      </c>
      <c r="T67" s="1">
        <v>3790</v>
      </c>
      <c r="U67" s="1">
        <v>6255</v>
      </c>
      <c r="V67" s="1">
        <v>6255</v>
      </c>
      <c r="W67" s="1">
        <v>0.19750000000000001</v>
      </c>
      <c r="X67" s="1">
        <v>5</v>
      </c>
      <c r="Y67" s="1">
        <v>23</v>
      </c>
      <c r="Z67" s="1">
        <v>1</v>
      </c>
      <c r="AA67" s="1">
        <v>2.1899999999999999E-2</v>
      </c>
      <c r="AB67" s="1" t="s">
        <v>63</v>
      </c>
      <c r="AC67" s="1" t="s">
        <v>109</v>
      </c>
      <c r="AD67" s="1">
        <v>40</v>
      </c>
      <c r="AE67" s="1">
        <v>8.6920000000000002</v>
      </c>
      <c r="AF67" s="1">
        <v>200</v>
      </c>
      <c r="AG67" s="1" t="s">
        <v>65</v>
      </c>
      <c r="AH67" s="1" t="s">
        <v>110</v>
      </c>
      <c r="AI67" s="1">
        <v>2.8669999999999998E-6</v>
      </c>
      <c r="AJ67" s="1">
        <v>2</v>
      </c>
      <c r="AK67" s="1">
        <v>4.2399999999999999E-7</v>
      </c>
      <c r="AL67" s="1">
        <v>25.6557754257</v>
      </c>
      <c r="AM67" s="1">
        <v>386.02285714300001</v>
      </c>
      <c r="AN67" s="1">
        <v>0.62269785963199997</v>
      </c>
      <c r="AO67" s="1">
        <v>697593.30310400005</v>
      </c>
      <c r="AP67" s="1">
        <v>-1.6827974116500001E-3</v>
      </c>
      <c r="AQ67" s="1">
        <v>-2.2881337345199999E-3</v>
      </c>
      <c r="AR67" s="1">
        <v>0.25</v>
      </c>
      <c r="AS67" s="1">
        <v>3.6938973739000002E-3</v>
      </c>
      <c r="AT67" s="1">
        <v>0.279777807203</v>
      </c>
      <c r="AU67" s="1">
        <v>3.6563194701999999E-3</v>
      </c>
      <c r="AV67" s="1">
        <v>0.28265322976399998</v>
      </c>
      <c r="AW67" s="1">
        <v>4</v>
      </c>
      <c r="AX67" s="1">
        <v>4.0585947314999999E-3</v>
      </c>
      <c r="AY67" s="1">
        <v>0.25650559164600001</v>
      </c>
      <c r="AZ67" s="1">
        <v>-11.026950273000001</v>
      </c>
      <c r="BA67" s="1">
        <v>-11.0021912631</v>
      </c>
      <c r="BB67" s="1">
        <v>-9.2710159846300009</v>
      </c>
      <c r="BC67" s="1">
        <v>-9.2507834211999995</v>
      </c>
      <c r="BD67" s="1">
        <v>-6.35885353824</v>
      </c>
      <c r="BE67" s="1">
        <v>-1.0356908035200001</v>
      </c>
      <c r="BF67" s="1">
        <v>-2.00652234417</v>
      </c>
      <c r="BG67" s="1">
        <v>2.7080742866900001</v>
      </c>
    </row>
    <row r="68" spans="1:59" x14ac:dyDescent="0.3">
      <c r="A68" s="1" t="s">
        <v>138</v>
      </c>
      <c r="B68" s="1" t="s">
        <v>111</v>
      </c>
      <c r="C68" s="1" t="s">
        <v>112</v>
      </c>
      <c r="D68" s="2">
        <v>43396.725925925923</v>
      </c>
      <c r="E68" s="1">
        <v>287.47500000000002</v>
      </c>
      <c r="F68" s="1">
        <v>0.2</v>
      </c>
      <c r="G68" s="1">
        <v>20</v>
      </c>
      <c r="H68" s="1">
        <v>114</v>
      </c>
      <c r="I68" s="1">
        <v>-10.66</v>
      </c>
      <c r="J68" s="1">
        <v>-72.8</v>
      </c>
      <c r="K68" s="1">
        <v>1.2999999999999999E-5</v>
      </c>
      <c r="L68" s="1">
        <v>0.1</v>
      </c>
      <c r="M68" s="1">
        <v>20</v>
      </c>
      <c r="N68" s="1">
        <v>0.29308932452499997</v>
      </c>
      <c r="O68" s="1">
        <v>0.1</v>
      </c>
      <c r="P68" s="1">
        <v>3.5265000000000001E-3</v>
      </c>
      <c r="Q68" s="1" t="s">
        <v>62</v>
      </c>
      <c r="R68" s="1">
        <v>2474</v>
      </c>
      <c r="S68" s="1">
        <v>626.6</v>
      </c>
      <c r="T68" s="1">
        <v>3619</v>
      </c>
      <c r="U68" s="1">
        <v>6407</v>
      </c>
      <c r="V68" s="1">
        <v>6407</v>
      </c>
      <c r="W68" s="1">
        <v>0.19750000000000001</v>
      </c>
      <c r="X68" s="1">
        <v>5</v>
      </c>
      <c r="Y68" s="1">
        <v>23</v>
      </c>
      <c r="Z68" s="1">
        <v>1</v>
      </c>
      <c r="AA68" s="1">
        <v>2.4400000000000002E-2</v>
      </c>
      <c r="AB68" s="1" t="s">
        <v>63</v>
      </c>
      <c r="AC68" s="1" t="s">
        <v>113</v>
      </c>
      <c r="AD68" s="1">
        <v>40</v>
      </c>
      <c r="AE68" s="1">
        <v>8.6920000000000002</v>
      </c>
      <c r="AF68" s="1">
        <v>200</v>
      </c>
      <c r="AG68" s="1" t="s">
        <v>65</v>
      </c>
      <c r="AH68" s="1" t="s">
        <v>114</v>
      </c>
      <c r="AI68" s="1">
        <v>2.864E-6</v>
      </c>
      <c r="AJ68" s="1">
        <v>2</v>
      </c>
      <c r="AK68" s="1">
        <v>4.2399999999999999E-7</v>
      </c>
      <c r="AL68" s="1">
        <v>25.6557754257</v>
      </c>
      <c r="AM68" s="1">
        <v>400.42152403799997</v>
      </c>
      <c r="AN68" s="1">
        <v>0.63903849989999995</v>
      </c>
      <c r="AO68" s="1">
        <v>698324.02234599995</v>
      </c>
      <c r="AP68" s="1">
        <v>-1.61857869539E-3</v>
      </c>
      <c r="AQ68" s="1">
        <v>-2.2239150182600002E-3</v>
      </c>
      <c r="AR68" s="1">
        <v>0.25</v>
      </c>
      <c r="AS68" s="1">
        <v>3.5573430876300002E-3</v>
      </c>
      <c r="AT68" s="1">
        <v>0.29051752441200002</v>
      </c>
      <c r="AU68" s="1">
        <v>3.5304434487899998E-3</v>
      </c>
      <c r="AV68" s="1">
        <v>0.29273107537100002</v>
      </c>
      <c r="AW68" s="1">
        <v>4</v>
      </c>
      <c r="AX68" s="1">
        <v>3.5257135904999998E-3</v>
      </c>
      <c r="AY68" s="1">
        <v>0.29315468344399997</v>
      </c>
      <c r="AZ68" s="1">
        <v>0.111698398509</v>
      </c>
      <c r="BA68" s="1">
        <v>0.13397348976599999</v>
      </c>
      <c r="BB68" s="1">
        <v>0.122381661541</v>
      </c>
      <c r="BC68" s="1">
        <v>0.14470895265100001</v>
      </c>
      <c r="BD68" s="1">
        <v>-3.2998687470800001</v>
      </c>
      <c r="BE68" s="1">
        <v>1.6118094036999999</v>
      </c>
      <c r="BF68" s="1">
        <v>-2.6866270867600002</v>
      </c>
      <c r="BG68" s="1">
        <v>2.5399950362000001</v>
      </c>
    </row>
    <row r="69" spans="1:59" x14ac:dyDescent="0.3">
      <c r="A69" s="1" t="s">
        <v>138</v>
      </c>
      <c r="B69" s="1" t="s">
        <v>115</v>
      </c>
      <c r="C69" s="1" t="s">
        <v>116</v>
      </c>
      <c r="D69" s="2">
        <v>43396.726782407408</v>
      </c>
      <c r="E69" s="1">
        <v>287.52499999999998</v>
      </c>
      <c r="F69" s="1">
        <v>0.2</v>
      </c>
      <c r="G69" s="1">
        <v>20</v>
      </c>
      <c r="H69" s="1">
        <v>114</v>
      </c>
      <c r="I69" s="1">
        <v>-11.02</v>
      </c>
      <c r="J69" s="1">
        <v>-72.8</v>
      </c>
      <c r="K69" s="1">
        <v>1.9000000000000001E-5</v>
      </c>
      <c r="L69" s="1">
        <v>0.1</v>
      </c>
      <c r="M69" s="1">
        <v>20</v>
      </c>
      <c r="N69" s="1">
        <v>0.28119008303999998</v>
      </c>
      <c r="O69" s="1">
        <v>0.1</v>
      </c>
      <c r="P69" s="1">
        <v>3.6814E-3</v>
      </c>
      <c r="Q69" s="1" t="s">
        <v>62</v>
      </c>
      <c r="R69" s="1">
        <v>2349</v>
      </c>
      <c r="S69" s="1">
        <v>615.83000000000004</v>
      </c>
      <c r="T69" s="1">
        <v>3762</v>
      </c>
      <c r="U69" s="1">
        <v>6164</v>
      </c>
      <c r="V69" s="1">
        <v>6164</v>
      </c>
      <c r="W69" s="1">
        <v>0.19750000000000001</v>
      </c>
      <c r="X69" s="1">
        <v>5</v>
      </c>
      <c r="Y69" s="1">
        <v>23</v>
      </c>
      <c r="Z69" s="1">
        <v>1</v>
      </c>
      <c r="AA69" s="1">
        <v>2.0500000000000001E-2</v>
      </c>
      <c r="AB69" s="1" t="s">
        <v>63</v>
      </c>
      <c r="AC69" s="1" t="s">
        <v>117</v>
      </c>
      <c r="AD69" s="1">
        <v>40</v>
      </c>
      <c r="AE69" s="1">
        <v>8.6920000000000002</v>
      </c>
      <c r="AF69" s="1">
        <v>200</v>
      </c>
      <c r="AG69" s="1" t="s">
        <v>65</v>
      </c>
      <c r="AH69" s="1" t="s">
        <v>118</v>
      </c>
      <c r="AI69" s="1">
        <v>2.869E-6</v>
      </c>
      <c r="AJ69" s="1">
        <v>2</v>
      </c>
      <c r="AK69" s="1">
        <v>4.2399999999999999E-7</v>
      </c>
      <c r="AL69" s="1">
        <v>25.6557754257</v>
      </c>
      <c r="AM69" s="1">
        <v>382.427576063</v>
      </c>
      <c r="AN69" s="1">
        <v>0.620995365706</v>
      </c>
      <c r="AO69" s="1">
        <v>697107.00592499995</v>
      </c>
      <c r="AP69" s="1">
        <v>-1.68948821277E-3</v>
      </c>
      <c r="AQ69" s="1">
        <v>-2.2948245356399998E-3</v>
      </c>
      <c r="AR69" s="1">
        <v>0.25</v>
      </c>
      <c r="AS69" s="1">
        <v>3.73122553386E-3</v>
      </c>
      <c r="AT69" s="1">
        <v>0.27697883655700001</v>
      </c>
      <c r="AU69" s="1">
        <v>3.69226557105E-3</v>
      </c>
      <c r="AV69" s="1">
        <v>0.27990145546599998</v>
      </c>
      <c r="AW69" s="1">
        <v>4</v>
      </c>
      <c r="AX69" s="1">
        <v>3.6805790477999999E-3</v>
      </c>
      <c r="AY69" s="1">
        <v>0.281252788428</v>
      </c>
      <c r="AZ69" s="1">
        <v>0.29427923964699998</v>
      </c>
      <c r="BA69" s="1">
        <v>0.31651361537599998</v>
      </c>
      <c r="BB69" s="1">
        <v>0.46038616416200001</v>
      </c>
      <c r="BC69" s="1">
        <v>0.48278883027699998</v>
      </c>
      <c r="BD69" s="1">
        <v>-3.36920510202</v>
      </c>
      <c r="BE69" s="1">
        <v>1.16446830199</v>
      </c>
      <c r="BF69" s="1">
        <v>-2.4584445001100002</v>
      </c>
      <c r="BG69" s="1">
        <v>2.3836470060199999</v>
      </c>
    </row>
    <row r="70" spans="1:59" x14ac:dyDescent="0.3">
      <c r="A70" s="1" t="s">
        <v>138</v>
      </c>
      <c r="B70" s="1" t="s">
        <v>119</v>
      </c>
      <c r="C70" s="1" t="s">
        <v>120</v>
      </c>
      <c r="D70" s="2">
        <v>43396.727384259262</v>
      </c>
      <c r="E70" s="1">
        <v>287.39999999999998</v>
      </c>
      <c r="F70" s="1">
        <v>0.2</v>
      </c>
      <c r="G70" s="1">
        <v>20</v>
      </c>
      <c r="H70" s="1">
        <v>113</v>
      </c>
      <c r="I70" s="1">
        <v>-10.7</v>
      </c>
      <c r="J70" s="1">
        <v>-72.5</v>
      </c>
      <c r="K70" s="1">
        <v>1.5E-5</v>
      </c>
      <c r="L70" s="1">
        <v>0.1</v>
      </c>
      <c r="M70" s="1">
        <v>20</v>
      </c>
      <c r="N70" s="1">
        <v>0.29174270140000003</v>
      </c>
      <c r="O70" s="1">
        <v>0.1</v>
      </c>
      <c r="P70" s="1">
        <v>3.5438000000000002E-3</v>
      </c>
      <c r="Q70" s="1" t="s">
        <v>62</v>
      </c>
      <c r="R70" s="1">
        <v>2350</v>
      </c>
      <c r="S70" s="1">
        <v>616.95000000000005</v>
      </c>
      <c r="T70" s="1">
        <v>3661</v>
      </c>
      <c r="U70" s="1">
        <v>6211</v>
      </c>
      <c r="V70" s="1">
        <v>6211</v>
      </c>
      <c r="W70" s="1">
        <v>0.19750000000000001</v>
      </c>
      <c r="X70" s="1">
        <v>5</v>
      </c>
      <c r="Y70" s="1">
        <v>23</v>
      </c>
      <c r="Z70" s="1">
        <v>1</v>
      </c>
      <c r="AA70" s="1">
        <v>2.4400000000000002E-2</v>
      </c>
      <c r="AB70" s="1" t="s">
        <v>63</v>
      </c>
      <c r="AC70" s="1" t="s">
        <v>121</v>
      </c>
      <c r="AD70" s="1">
        <v>40</v>
      </c>
      <c r="AE70" s="1">
        <v>8.6920000000000002</v>
      </c>
      <c r="AF70" s="1">
        <v>200</v>
      </c>
      <c r="AG70" s="1" t="s">
        <v>65</v>
      </c>
      <c r="AH70" s="1" t="s">
        <v>122</v>
      </c>
      <c r="AI70" s="1">
        <v>2.875E-6</v>
      </c>
      <c r="AJ70" s="1">
        <v>2</v>
      </c>
      <c r="AK70" s="1">
        <v>4.2399999999999999E-7</v>
      </c>
      <c r="AL70" s="1">
        <v>25.6557754257</v>
      </c>
      <c r="AM70" s="1">
        <v>388.15604234199998</v>
      </c>
      <c r="AN70" s="1">
        <v>0.62915316045400005</v>
      </c>
      <c r="AO70" s="1">
        <v>695652.17391300004</v>
      </c>
      <c r="AP70" s="1">
        <v>-1.6574280794199999E-3</v>
      </c>
      <c r="AQ70" s="1">
        <v>-2.2627644022899999E-3</v>
      </c>
      <c r="AR70" s="1">
        <v>0.25</v>
      </c>
      <c r="AS70" s="1">
        <v>3.6838475660799998E-3</v>
      </c>
      <c r="AT70" s="1">
        <v>0.28054106169300003</v>
      </c>
      <c r="AU70" s="1">
        <v>3.6501489754799999E-3</v>
      </c>
      <c r="AV70" s="1">
        <v>0.28313104869</v>
      </c>
      <c r="AW70" s="1">
        <v>4</v>
      </c>
      <c r="AX70" s="1">
        <v>3.5430097325999999E-3</v>
      </c>
      <c r="AY70" s="1">
        <v>0.29180776002300002</v>
      </c>
      <c r="AZ70" s="1">
        <v>2.9135516439</v>
      </c>
      <c r="BA70" s="1">
        <v>2.9352019218800001</v>
      </c>
      <c r="BB70" s="1">
        <v>3.04157836099</v>
      </c>
      <c r="BC70" s="1">
        <v>3.06455663296</v>
      </c>
      <c r="BD70" s="1">
        <v>-4.2683189383900002</v>
      </c>
      <c r="BE70" s="1">
        <v>0.10000434022099999</v>
      </c>
      <c r="BF70" s="1">
        <v>-2.4001466893600001</v>
      </c>
      <c r="BG70" s="1">
        <v>2.5606675667199998</v>
      </c>
    </row>
    <row r="71" spans="1:59" x14ac:dyDescent="0.3">
      <c r="A71" s="1" t="s">
        <v>138</v>
      </c>
      <c r="B71" s="1" t="s">
        <v>123</v>
      </c>
      <c r="C71" s="1" t="s">
        <v>124</v>
      </c>
      <c r="D71" s="2">
        <v>43396.728125000001</v>
      </c>
      <c r="E71" s="1">
        <v>287.82499999999999</v>
      </c>
      <c r="F71" s="1">
        <v>0.2</v>
      </c>
      <c r="G71" s="1">
        <v>20</v>
      </c>
      <c r="H71" s="1">
        <v>114</v>
      </c>
      <c r="I71" s="1">
        <v>-10.69</v>
      </c>
      <c r="J71" s="1">
        <v>-73.2</v>
      </c>
      <c r="K71" s="1">
        <v>1.1E-5</v>
      </c>
      <c r="L71" s="1">
        <v>0.1</v>
      </c>
      <c r="M71" s="1">
        <v>20</v>
      </c>
      <c r="N71" s="1">
        <v>0.29207877602100002</v>
      </c>
      <c r="O71" s="1">
        <v>0.1</v>
      </c>
      <c r="P71" s="1">
        <v>3.5308000000000002E-3</v>
      </c>
      <c r="Q71" s="1" t="s">
        <v>62</v>
      </c>
      <c r="R71" s="1">
        <v>2911</v>
      </c>
      <c r="S71" s="1">
        <v>618.86</v>
      </c>
      <c r="T71" s="1">
        <v>3577</v>
      </c>
      <c r="U71" s="1">
        <v>6252</v>
      </c>
      <c r="V71" s="1">
        <v>6252</v>
      </c>
      <c r="W71" s="1">
        <v>0.19750000000000001</v>
      </c>
      <c r="X71" s="1">
        <v>5</v>
      </c>
      <c r="Y71" s="1">
        <v>23</v>
      </c>
      <c r="Z71" s="1">
        <v>1</v>
      </c>
      <c r="AA71" s="1">
        <v>2.4799999999999999E-2</v>
      </c>
      <c r="AB71" s="1" t="s">
        <v>63</v>
      </c>
      <c r="AC71" s="1" t="s">
        <v>125</v>
      </c>
      <c r="AD71" s="1">
        <v>40</v>
      </c>
      <c r="AE71" s="1">
        <v>8.6920000000000002</v>
      </c>
      <c r="AF71" s="1">
        <v>200</v>
      </c>
      <c r="AG71" s="1" t="s">
        <v>65</v>
      </c>
      <c r="AH71" s="1" t="s">
        <v>126</v>
      </c>
      <c r="AI71" s="1">
        <v>2.8660000000000002E-6</v>
      </c>
      <c r="AJ71" s="1">
        <v>2</v>
      </c>
      <c r="AK71" s="1">
        <v>4.2399999999999999E-7</v>
      </c>
      <c r="AL71" s="1">
        <v>25.6557754257</v>
      </c>
      <c r="AM71" s="1">
        <v>393.64255977200003</v>
      </c>
      <c r="AN71" s="1">
        <v>0.63607691525099996</v>
      </c>
      <c r="AO71" s="1">
        <v>697836.70621099998</v>
      </c>
      <c r="AP71" s="1">
        <v>-1.6302177230600001E-3</v>
      </c>
      <c r="AQ71" s="1">
        <v>-2.2355540459300001E-3</v>
      </c>
      <c r="AR71" s="1">
        <v>0.25</v>
      </c>
      <c r="AS71" s="1">
        <v>3.6211314647800002E-3</v>
      </c>
      <c r="AT71" s="1">
        <v>0.285399886017</v>
      </c>
      <c r="AU71" s="1">
        <v>3.5920201593800001E-3</v>
      </c>
      <c r="AV71" s="1">
        <v>0.28771289175600001</v>
      </c>
      <c r="AW71" s="1">
        <v>4</v>
      </c>
      <c r="AX71" s="1">
        <v>3.5300126316000001E-3</v>
      </c>
      <c r="AY71" s="1">
        <v>0.29214390958800002</v>
      </c>
      <c r="AZ71" s="1">
        <v>1.70433785636</v>
      </c>
      <c r="BA71" s="1">
        <v>1.7262577890199999</v>
      </c>
      <c r="BB71" s="1">
        <v>1.5174447825899999</v>
      </c>
      <c r="BC71" s="1">
        <v>1.54008317278</v>
      </c>
      <c r="BD71" s="1">
        <v>-3.7249234153200002</v>
      </c>
      <c r="BE71" s="1">
        <v>0.72574421198299999</v>
      </c>
      <c r="BF71" s="1">
        <v>-3.8097888805800002</v>
      </c>
      <c r="BG71" s="1">
        <v>1.1453238620499999</v>
      </c>
    </row>
    <row r="72" spans="1:59" x14ac:dyDescent="0.3">
      <c r="A72" s="1" t="s">
        <v>138</v>
      </c>
      <c r="B72" s="1" t="s">
        <v>127</v>
      </c>
      <c r="C72" s="1" t="s">
        <v>128</v>
      </c>
      <c r="D72" s="2">
        <v>43396.728796296295</v>
      </c>
      <c r="E72" s="1">
        <v>287.42500000000001</v>
      </c>
      <c r="F72" s="1">
        <v>0.2</v>
      </c>
      <c r="G72" s="1">
        <v>20</v>
      </c>
      <c r="H72" s="1">
        <v>113</v>
      </c>
      <c r="I72" s="1">
        <v>-11.44</v>
      </c>
      <c r="J72" s="1">
        <v>107</v>
      </c>
      <c r="K72" s="1">
        <v>1.4E-5</v>
      </c>
      <c r="L72" s="1">
        <v>0.1</v>
      </c>
      <c r="M72" s="1">
        <v>20</v>
      </c>
      <c r="N72" s="1">
        <v>0.26791683248199999</v>
      </c>
      <c r="O72" s="1">
        <v>0.1</v>
      </c>
      <c r="P72" s="1">
        <v>3.8658E-3</v>
      </c>
      <c r="Q72" s="1" t="s">
        <v>62</v>
      </c>
      <c r="R72" s="1">
        <v>1466</v>
      </c>
      <c r="S72" s="1">
        <v>600.25</v>
      </c>
      <c r="T72" s="1">
        <v>3720</v>
      </c>
      <c r="U72" s="1">
        <v>5860</v>
      </c>
      <c r="V72" s="1">
        <v>5860</v>
      </c>
      <c r="W72" s="1">
        <v>0.19750000000000001</v>
      </c>
      <c r="X72" s="1">
        <v>5</v>
      </c>
      <c r="Y72" s="1">
        <v>23</v>
      </c>
      <c r="Z72" s="1">
        <v>1</v>
      </c>
      <c r="AA72" s="1">
        <v>2.1100000000000001E-2</v>
      </c>
      <c r="AB72" s="1" t="s">
        <v>63</v>
      </c>
      <c r="AC72" s="1" t="s">
        <v>129</v>
      </c>
      <c r="AD72" s="1">
        <v>40</v>
      </c>
      <c r="AE72" s="1">
        <v>8.6920000000000002</v>
      </c>
      <c r="AF72" s="1">
        <v>200</v>
      </c>
      <c r="AG72" s="1" t="s">
        <v>65</v>
      </c>
      <c r="AH72" s="1" t="s">
        <v>130</v>
      </c>
      <c r="AI72" s="1">
        <v>2.8650000000000001E-6</v>
      </c>
      <c r="AJ72" s="1">
        <v>2</v>
      </c>
      <c r="AK72" s="1">
        <v>4.2399999999999999E-7</v>
      </c>
      <c r="AL72" s="1">
        <v>25.6557754257</v>
      </c>
      <c r="AM72" s="1">
        <v>367.16753653400002</v>
      </c>
      <c r="AN72" s="1">
        <v>0.611691022965</v>
      </c>
      <c r="AO72" s="1">
        <v>698080.279232</v>
      </c>
      <c r="AP72" s="1">
        <v>-1.7260542797499999E-3</v>
      </c>
      <c r="AQ72" s="1">
        <v>-2.3313906026199999E-3</v>
      </c>
      <c r="AR72" s="1">
        <v>0.25</v>
      </c>
      <c r="AS72" s="1">
        <v>3.8808825892400001E-3</v>
      </c>
      <c r="AT72" s="1">
        <v>0.26629780302200001</v>
      </c>
      <c r="AU72" s="1">
        <v>3.83471709759E-3</v>
      </c>
      <c r="AV72" s="1">
        <v>0.26950371592</v>
      </c>
      <c r="AW72" s="1">
        <v>4</v>
      </c>
      <c r="AX72" s="1">
        <v>3.8649379266E-3</v>
      </c>
      <c r="AY72" s="1">
        <v>0.26797657793599999</v>
      </c>
      <c r="AZ72" s="1">
        <v>-0.810565724022</v>
      </c>
      <c r="BA72" s="1">
        <v>-0.78808496786600002</v>
      </c>
      <c r="BB72" s="1">
        <v>-0.58881690455400004</v>
      </c>
      <c r="BC72" s="1">
        <v>-0.56664821072399996</v>
      </c>
      <c r="BD72" s="1">
        <v>-2.0288328452900002</v>
      </c>
      <c r="BE72" s="1">
        <v>2.35525654439</v>
      </c>
      <c r="BF72" s="1">
        <v>-1.7316798007900001</v>
      </c>
      <c r="BG72" s="1">
        <v>2.7563508613600001</v>
      </c>
    </row>
    <row r="73" spans="1:59" x14ac:dyDescent="0.3">
      <c r="A73" s="1" t="s">
        <v>138</v>
      </c>
      <c r="B73" s="1" t="s">
        <v>131</v>
      </c>
      <c r="C73" s="1" t="s">
        <v>132</v>
      </c>
      <c r="D73" s="2">
        <v>43396.729328703703</v>
      </c>
      <c r="E73" s="1">
        <v>286.97500000000002</v>
      </c>
      <c r="F73" s="1">
        <v>0.2</v>
      </c>
      <c r="G73" s="1">
        <v>20</v>
      </c>
      <c r="H73" s="1">
        <v>113</v>
      </c>
      <c r="I73" s="1">
        <v>-10.91</v>
      </c>
      <c r="J73" s="1">
        <v>-72.5</v>
      </c>
      <c r="K73" s="1">
        <v>1.7E-5</v>
      </c>
      <c r="L73" s="1">
        <v>0.1</v>
      </c>
      <c r="M73" s="1">
        <v>20</v>
      </c>
      <c r="N73" s="1">
        <v>0.28477378001699999</v>
      </c>
      <c r="O73" s="1">
        <v>0.1</v>
      </c>
      <c r="P73" s="1">
        <v>3.6074000000000002E-3</v>
      </c>
      <c r="Q73" s="1" t="s">
        <v>62</v>
      </c>
      <c r="R73" s="1">
        <v>954</v>
      </c>
      <c r="S73" s="1">
        <v>609.74</v>
      </c>
      <c r="T73" s="1">
        <v>3688</v>
      </c>
      <c r="U73" s="1">
        <v>6046</v>
      </c>
      <c r="V73" s="1">
        <v>6046</v>
      </c>
      <c r="W73" s="1">
        <v>0.19750000000000001</v>
      </c>
      <c r="X73" s="1">
        <v>5</v>
      </c>
      <c r="Y73" s="1">
        <v>23</v>
      </c>
      <c r="Z73" s="1">
        <v>1</v>
      </c>
      <c r="AA73" s="1">
        <v>2.1000000000000001E-2</v>
      </c>
      <c r="AB73" s="1" t="s">
        <v>63</v>
      </c>
      <c r="AC73" s="1" t="s">
        <v>133</v>
      </c>
      <c r="AD73" s="1">
        <v>40</v>
      </c>
      <c r="AE73" s="1">
        <v>8.6920000000000002</v>
      </c>
      <c r="AF73" s="1">
        <v>200</v>
      </c>
      <c r="AG73" s="1" t="s">
        <v>65</v>
      </c>
      <c r="AH73" s="1" t="s">
        <v>134</v>
      </c>
      <c r="AI73" s="1">
        <v>2.8660000000000002E-6</v>
      </c>
      <c r="AJ73" s="1">
        <v>2</v>
      </c>
      <c r="AK73" s="1">
        <v>4.2399999999999999E-7</v>
      </c>
      <c r="AL73" s="1">
        <v>25.6557754257</v>
      </c>
      <c r="AM73" s="1">
        <v>378.72283131299997</v>
      </c>
      <c r="AN73" s="1">
        <v>0.62112184097000001</v>
      </c>
      <c r="AO73" s="1">
        <v>697836.70621099998</v>
      </c>
      <c r="AP73" s="1">
        <v>-1.6889911649900001E-3</v>
      </c>
      <c r="AQ73" s="1">
        <v>-2.2943274878599999E-3</v>
      </c>
      <c r="AR73" s="1">
        <v>0.25</v>
      </c>
      <c r="AS73" s="1">
        <v>3.76378538924E-3</v>
      </c>
      <c r="AT73" s="1">
        <v>0.27458274062499999</v>
      </c>
      <c r="AU73" s="1">
        <v>3.7245646297000001E-3</v>
      </c>
      <c r="AV73" s="1">
        <v>0.27747417753499998</v>
      </c>
      <c r="AW73" s="1">
        <v>4</v>
      </c>
      <c r="AX73" s="1">
        <v>3.6065955498E-3</v>
      </c>
      <c r="AY73" s="1">
        <v>0.28483728457000002</v>
      </c>
      <c r="AZ73" s="1">
        <v>3.1457268527200002</v>
      </c>
      <c r="BA73" s="1">
        <v>3.1673253556400001</v>
      </c>
      <c r="BB73" s="1">
        <v>2.63073218109</v>
      </c>
      <c r="BC73" s="1">
        <v>2.65361883436</v>
      </c>
      <c r="BD73" s="1">
        <v>-2.4808268666700002</v>
      </c>
      <c r="BE73" s="1">
        <v>1.7077367833199999</v>
      </c>
      <c r="BF73" s="1">
        <v>-2.5115567310300002</v>
      </c>
      <c r="BG73" s="1">
        <v>2.15378254687</v>
      </c>
    </row>
    <row r="74" spans="1:59" x14ac:dyDescent="0.3">
      <c r="A74" s="1" t="s">
        <v>139</v>
      </c>
      <c r="B74" s="1" t="s">
        <v>60</v>
      </c>
      <c r="C74" s="1" t="s">
        <v>61</v>
      </c>
      <c r="D74" s="2">
        <v>43530.667997685188</v>
      </c>
      <c r="E74" s="1">
        <v>287.97500000000002</v>
      </c>
      <c r="F74" s="1">
        <v>0.2</v>
      </c>
      <c r="G74" s="1">
        <v>20</v>
      </c>
      <c r="H74" s="1">
        <v>114</v>
      </c>
      <c r="I74" s="1">
        <v>-10.81</v>
      </c>
      <c r="J74" s="1">
        <v>-72.599999999999994</v>
      </c>
      <c r="K74" s="1">
        <v>1.2E-5</v>
      </c>
      <c r="L74" s="1">
        <v>-15.9</v>
      </c>
      <c r="M74" s="1">
        <v>20</v>
      </c>
      <c r="N74" s="1">
        <v>0.28807130497799999</v>
      </c>
      <c r="O74" s="1">
        <v>-15.9</v>
      </c>
      <c r="P74" s="1">
        <v>3.6024E-3</v>
      </c>
      <c r="Q74" s="1" t="s">
        <v>62</v>
      </c>
      <c r="R74" s="1">
        <v>2340</v>
      </c>
      <c r="S74" s="1">
        <v>618.29999999999995</v>
      </c>
      <c r="T74" s="1">
        <v>3754</v>
      </c>
      <c r="U74" s="1">
        <v>6132</v>
      </c>
      <c r="V74" s="1">
        <v>6132</v>
      </c>
      <c r="W74" s="1">
        <v>0.19750000000000001</v>
      </c>
      <c r="X74" s="1">
        <v>5</v>
      </c>
      <c r="Y74" s="1">
        <v>23</v>
      </c>
      <c r="Z74" s="1">
        <v>1</v>
      </c>
      <c r="AA74" s="1">
        <v>7.4999999999999997E-3</v>
      </c>
      <c r="AB74" s="1" t="s">
        <v>63</v>
      </c>
      <c r="AC74" s="1" t="s">
        <v>64</v>
      </c>
      <c r="AD74" s="1">
        <v>40</v>
      </c>
      <c r="AE74" s="1">
        <v>8.6920000000000002</v>
      </c>
      <c r="AF74" s="1">
        <v>200</v>
      </c>
      <c r="AG74" s="1" t="s">
        <v>65</v>
      </c>
      <c r="AH74" s="1" t="s">
        <v>66</v>
      </c>
      <c r="AI74" s="1">
        <v>2.8679999999999999E-6</v>
      </c>
      <c r="AJ74" s="1">
        <v>2</v>
      </c>
      <c r="AK74" s="1">
        <v>4.2399999999999999E-7</v>
      </c>
      <c r="AL74" s="1">
        <v>25.6557754257</v>
      </c>
      <c r="AM74" s="1">
        <v>383.51361521299998</v>
      </c>
      <c r="AN74" s="1">
        <v>0.62027109043100004</v>
      </c>
      <c r="AO74" s="1">
        <v>697350.06973500003</v>
      </c>
      <c r="AP74" s="1">
        <v>-1.69233461461E-3</v>
      </c>
      <c r="AQ74" s="1">
        <v>-2.2976709374799998E-3</v>
      </c>
      <c r="AR74" s="1">
        <v>0.25</v>
      </c>
      <c r="AS74" s="1">
        <v>3.7193625490100002E-3</v>
      </c>
      <c r="AT74" s="1">
        <v>0.277862266365</v>
      </c>
      <c r="AU74" s="1">
        <v>3.6801049763000001E-3</v>
      </c>
      <c r="AV74" s="1">
        <v>0.28082636608400002</v>
      </c>
      <c r="AW74" s="1">
        <v>4</v>
      </c>
      <c r="AX74" s="1">
        <v>3.7301302967999998E-3</v>
      </c>
      <c r="AY74" s="1">
        <v>0.27785716071700001</v>
      </c>
      <c r="AZ74" s="1">
        <v>2.1114880362299999</v>
      </c>
      <c r="BA74" s="1">
        <v>-1.35934493247</v>
      </c>
      <c r="BB74" s="1">
        <v>2.5798642036800001</v>
      </c>
      <c r="BC74" s="1">
        <v>-1.0573100413900001</v>
      </c>
      <c r="BD74" s="1">
        <v>-0.90758280579299999</v>
      </c>
      <c r="BE74" s="1">
        <v>-0.399094289283</v>
      </c>
      <c r="BF74" s="1">
        <v>-0.11816744267400001</v>
      </c>
      <c r="BG74" s="1">
        <v>0.45856394676899997</v>
      </c>
    </row>
    <row r="75" spans="1:59" x14ac:dyDescent="0.3">
      <c r="A75" s="1" t="s">
        <v>139</v>
      </c>
      <c r="B75" s="1" t="s">
        <v>67</v>
      </c>
      <c r="C75" s="1" t="s">
        <v>68</v>
      </c>
      <c r="D75" s="2">
        <v>43530.681041666663</v>
      </c>
      <c r="E75" s="1">
        <v>280</v>
      </c>
      <c r="F75" s="1">
        <v>0.2</v>
      </c>
      <c r="G75" s="1">
        <v>20</v>
      </c>
      <c r="H75" s="1">
        <v>111</v>
      </c>
      <c r="I75" s="1">
        <v>-10.79</v>
      </c>
      <c r="J75" s="1">
        <v>-72.2</v>
      </c>
      <c r="K75" s="1">
        <v>1.2E-5</v>
      </c>
      <c r="L75" s="1">
        <v>-15.9</v>
      </c>
      <c r="M75" s="1">
        <v>20</v>
      </c>
      <c r="N75" s="1">
        <v>0.288735377919</v>
      </c>
      <c r="O75" s="1">
        <v>-15.9</v>
      </c>
      <c r="P75" s="1">
        <v>3.5837E-3</v>
      </c>
      <c r="Q75" s="1" t="s">
        <v>62</v>
      </c>
      <c r="R75" s="1">
        <v>2338</v>
      </c>
      <c r="S75" s="1">
        <v>605.91999999999996</v>
      </c>
      <c r="T75" s="1">
        <v>3729</v>
      </c>
      <c r="U75" s="1">
        <v>5971</v>
      </c>
      <c r="V75" s="1">
        <v>5971</v>
      </c>
      <c r="W75" s="1">
        <v>0.19750000000000001</v>
      </c>
      <c r="X75" s="1">
        <v>5</v>
      </c>
      <c r="Y75" s="1">
        <v>23</v>
      </c>
      <c r="Z75" s="1">
        <v>1</v>
      </c>
      <c r="AA75" s="1">
        <v>2.12E-2</v>
      </c>
      <c r="AB75" s="1" t="s">
        <v>63</v>
      </c>
      <c r="AC75" s="1" t="s">
        <v>69</v>
      </c>
      <c r="AD75" s="1">
        <v>40</v>
      </c>
      <c r="AE75" s="1">
        <v>8.6920000000000002</v>
      </c>
      <c r="AF75" s="1">
        <v>200</v>
      </c>
      <c r="AG75" s="1" t="s">
        <v>65</v>
      </c>
      <c r="AH75" s="1" t="s">
        <v>70</v>
      </c>
      <c r="AI75" s="1">
        <v>2.8700000000000001E-6</v>
      </c>
      <c r="AJ75" s="1">
        <v>2</v>
      </c>
      <c r="AK75" s="1">
        <v>4.2399999999999999E-7</v>
      </c>
      <c r="AL75" s="1">
        <v>25.6557754257</v>
      </c>
      <c r="AM75" s="1">
        <v>372.98436288699997</v>
      </c>
      <c r="AN75" s="1">
        <v>0.61556701030899996</v>
      </c>
      <c r="AO75" s="1">
        <v>696864.11149799998</v>
      </c>
      <c r="AP75" s="1">
        <v>-1.7108216494799999E-3</v>
      </c>
      <c r="AQ75" s="1">
        <v>-2.3161579723500001E-3</v>
      </c>
      <c r="AR75" s="1">
        <v>0.25</v>
      </c>
      <c r="AS75" s="1">
        <v>3.82702611125E-3</v>
      </c>
      <c r="AT75" s="1">
        <v>0.27004532429599998</v>
      </c>
      <c r="AU75" s="1">
        <v>3.78380856865E-3</v>
      </c>
      <c r="AV75" s="1">
        <v>0.27312970213799997</v>
      </c>
      <c r="AW75" s="1">
        <v>4</v>
      </c>
      <c r="AX75" s="1">
        <v>3.7107672508999998E-3</v>
      </c>
      <c r="AY75" s="1">
        <v>0.27849768762400001</v>
      </c>
      <c r="AZ75" s="1">
        <v>5.2885489585599998</v>
      </c>
      <c r="BA75" s="1">
        <v>1.93036503898</v>
      </c>
      <c r="BB75" s="1">
        <v>5.7136502031700003</v>
      </c>
      <c r="BC75" s="1">
        <v>1.9653613079100001</v>
      </c>
      <c r="BD75" s="1">
        <v>-0.49421104849000003</v>
      </c>
      <c r="BE75" s="1">
        <v>0.30767304658200001</v>
      </c>
      <c r="BF75" s="1">
        <v>0.48571010293</v>
      </c>
      <c r="BG75" s="1">
        <v>1.38365567486</v>
      </c>
    </row>
    <row r="76" spans="1:59" x14ac:dyDescent="0.3">
      <c r="A76" s="1" t="s">
        <v>139</v>
      </c>
      <c r="B76" s="1" t="s">
        <v>71</v>
      </c>
      <c r="C76" s="1" t="s">
        <v>72</v>
      </c>
      <c r="D76" s="2">
        <v>43530.694560185184</v>
      </c>
      <c r="E76" s="1">
        <v>288.97500000000002</v>
      </c>
      <c r="F76" s="1">
        <v>0.2</v>
      </c>
      <c r="G76" s="1">
        <v>20</v>
      </c>
      <c r="H76" s="1">
        <v>114</v>
      </c>
      <c r="I76" s="1">
        <v>-10.68</v>
      </c>
      <c r="J76" s="1">
        <v>-72.099999999999994</v>
      </c>
      <c r="K76" s="1">
        <v>2.0999999999999999E-5</v>
      </c>
      <c r="L76" s="1">
        <v>-15.9</v>
      </c>
      <c r="M76" s="1">
        <v>20</v>
      </c>
      <c r="N76" s="1">
        <v>0.29241523778400003</v>
      </c>
      <c r="O76" s="1">
        <v>-15.9</v>
      </c>
      <c r="P76" s="1">
        <v>3.5247E-3</v>
      </c>
      <c r="Q76" s="1" t="s">
        <v>62</v>
      </c>
      <c r="R76" s="1">
        <v>2342</v>
      </c>
      <c r="S76" s="1">
        <v>613.32000000000005</v>
      </c>
      <c r="T76" s="1">
        <v>3831</v>
      </c>
      <c r="U76" s="1">
        <v>6158</v>
      </c>
      <c r="V76" s="1">
        <v>6158</v>
      </c>
      <c r="W76" s="1">
        <v>0.19750000000000001</v>
      </c>
      <c r="X76" s="1">
        <v>5</v>
      </c>
      <c r="Y76" s="1">
        <v>23</v>
      </c>
      <c r="Z76" s="1">
        <v>1</v>
      </c>
      <c r="AA76" s="1">
        <v>2.75E-2</v>
      </c>
      <c r="AB76" s="1" t="s">
        <v>63</v>
      </c>
      <c r="AC76" s="1" t="s">
        <v>73</v>
      </c>
      <c r="AD76" s="1">
        <v>40</v>
      </c>
      <c r="AE76" s="1">
        <v>8.6920000000000002</v>
      </c>
      <c r="AF76" s="1">
        <v>200</v>
      </c>
      <c r="AG76" s="1" t="s">
        <v>65</v>
      </c>
      <c r="AH76" s="1" t="s">
        <v>74</v>
      </c>
      <c r="AI76" s="1">
        <v>2.8700000000000001E-6</v>
      </c>
      <c r="AJ76" s="1">
        <v>2</v>
      </c>
      <c r="AK76" s="1">
        <v>4.2399999999999999E-7</v>
      </c>
      <c r="AL76" s="1">
        <v>25.6557754257</v>
      </c>
      <c r="AM76" s="1">
        <v>378.09836420099998</v>
      </c>
      <c r="AN76" s="1">
        <v>0.61647812593899998</v>
      </c>
      <c r="AO76" s="1">
        <v>696864.11149799998</v>
      </c>
      <c r="AP76" s="1">
        <v>-1.7072409650600001E-3</v>
      </c>
      <c r="AQ76" s="1">
        <v>-2.3125772879299998E-3</v>
      </c>
      <c r="AR76" s="1">
        <v>0.25</v>
      </c>
      <c r="AS76" s="1">
        <v>3.77526334681E-3</v>
      </c>
      <c r="AT76" s="1">
        <v>0.27374792494299999</v>
      </c>
      <c r="AU76" s="1">
        <v>3.7331683091899998E-3</v>
      </c>
      <c r="AV76" s="1">
        <v>0.276834694208</v>
      </c>
      <c r="AW76" s="1">
        <v>4</v>
      </c>
      <c r="AX76" s="1">
        <v>3.6496752879000001E-3</v>
      </c>
      <c r="AY76" s="1">
        <v>0.282047070698</v>
      </c>
      <c r="AZ76" s="1">
        <v>5.5842194062899999</v>
      </c>
      <c r="BA76" s="1">
        <v>2.2365190737799998</v>
      </c>
      <c r="BB76" s="1">
        <v>5.6281036670200004</v>
      </c>
      <c r="BC76" s="1">
        <v>1.8828479952999999</v>
      </c>
      <c r="BD76" s="1">
        <v>-9.9111523873399998E-2</v>
      </c>
      <c r="BE76" s="1">
        <v>0.71764634972499997</v>
      </c>
      <c r="BF76" s="1">
        <v>0.24293789697900001</v>
      </c>
      <c r="BG76" s="1">
        <v>1.1508588346699999</v>
      </c>
    </row>
    <row r="77" spans="1:59" x14ac:dyDescent="0.3">
      <c r="A77" s="1" t="s">
        <v>139</v>
      </c>
      <c r="B77" s="1" t="s">
        <v>75</v>
      </c>
      <c r="C77" s="1" t="s">
        <v>76</v>
      </c>
      <c r="D77" s="2">
        <v>43530.708472222221</v>
      </c>
      <c r="E77" s="1">
        <v>288.97500000000002</v>
      </c>
      <c r="F77" s="1">
        <v>0.2</v>
      </c>
      <c r="G77" s="1">
        <v>20</v>
      </c>
      <c r="H77" s="1">
        <v>114</v>
      </c>
      <c r="I77" s="1">
        <v>-10.89</v>
      </c>
      <c r="J77" s="1">
        <v>-72.3</v>
      </c>
      <c r="K77" s="1">
        <v>1.2999999999999999E-5</v>
      </c>
      <c r="L77" s="1">
        <v>-14.3</v>
      </c>
      <c r="M77" s="1">
        <v>20</v>
      </c>
      <c r="N77" s="1">
        <v>0.28543025137900002</v>
      </c>
      <c r="O77" s="1">
        <v>-14.3</v>
      </c>
      <c r="P77" s="1">
        <v>3.6078999999999998E-3</v>
      </c>
      <c r="Q77" s="1" t="s">
        <v>62</v>
      </c>
      <c r="R77" s="1">
        <v>2343</v>
      </c>
      <c r="S77" s="1">
        <v>607.6</v>
      </c>
      <c r="T77" s="1">
        <v>3764</v>
      </c>
      <c r="U77" s="1">
        <v>5910</v>
      </c>
      <c r="V77" s="1">
        <v>5910</v>
      </c>
      <c r="W77" s="1">
        <v>0.19750000000000001</v>
      </c>
      <c r="X77" s="1">
        <v>5</v>
      </c>
      <c r="Y77" s="1">
        <v>23</v>
      </c>
      <c r="Z77" s="1">
        <v>1</v>
      </c>
      <c r="AA77" s="1">
        <v>5.4999999999999997E-3</v>
      </c>
      <c r="AB77" s="1" t="s">
        <v>63</v>
      </c>
      <c r="AC77" s="1" t="s">
        <v>77</v>
      </c>
      <c r="AD77" s="1">
        <v>40</v>
      </c>
      <c r="AE77" s="1">
        <v>8.6920000000000002</v>
      </c>
      <c r="AF77" s="1">
        <v>200</v>
      </c>
      <c r="AG77" s="1" t="s">
        <v>65</v>
      </c>
      <c r="AH77" s="1" t="s">
        <v>78</v>
      </c>
      <c r="AI77" s="1">
        <v>2.8700000000000001E-6</v>
      </c>
      <c r="AJ77" s="1">
        <v>2</v>
      </c>
      <c r="AK77" s="1">
        <v>4.2399999999999999E-7</v>
      </c>
      <c r="AL77" s="1">
        <v>25.6557754257</v>
      </c>
      <c r="AM77" s="1">
        <v>371.19247467399998</v>
      </c>
      <c r="AN77" s="1">
        <v>0.61091585693600003</v>
      </c>
      <c r="AO77" s="1">
        <v>696864.11149799998</v>
      </c>
      <c r="AP77" s="1">
        <v>-1.7291006822400001E-3</v>
      </c>
      <c r="AQ77" s="1">
        <v>-2.3344370051100001E-3</v>
      </c>
      <c r="AR77" s="1">
        <v>0.25</v>
      </c>
      <c r="AS77" s="1">
        <v>3.8455006317299999E-3</v>
      </c>
      <c r="AT77" s="1">
        <v>0.26874797491199998</v>
      </c>
      <c r="AU77" s="1">
        <v>3.7992894359599998E-3</v>
      </c>
      <c r="AV77" s="1">
        <v>0.27201678754000003</v>
      </c>
      <c r="AW77" s="1">
        <v>4</v>
      </c>
      <c r="AX77" s="1">
        <v>3.7229523231000002E-3</v>
      </c>
      <c r="AY77" s="1">
        <v>0.276328166092</v>
      </c>
      <c r="AZ77" s="1">
        <v>5.0375060700900001</v>
      </c>
      <c r="BA77" s="1">
        <v>2.0092471011600002</v>
      </c>
      <c r="BB77" s="1">
        <v>4.9311161860199997</v>
      </c>
      <c r="BC77" s="1">
        <v>1.5849678219600001</v>
      </c>
      <c r="BD77" s="1">
        <v>1.10810194142</v>
      </c>
      <c r="BE77" s="1">
        <v>2.3217440625900001</v>
      </c>
      <c r="BF77" s="1">
        <v>0.60229684694100005</v>
      </c>
      <c r="BG77" s="1">
        <v>1.8626831719800001</v>
      </c>
    </row>
    <row r="78" spans="1:59" x14ac:dyDescent="0.3">
      <c r="A78" s="1" t="s">
        <v>139</v>
      </c>
      <c r="B78" s="1" t="s">
        <v>79</v>
      </c>
      <c r="C78" s="1" t="s">
        <v>80</v>
      </c>
      <c r="D78" s="2">
        <v>43530.722337962965</v>
      </c>
      <c r="E78" s="1">
        <v>287.97500000000002</v>
      </c>
      <c r="F78" s="1">
        <v>0.2</v>
      </c>
      <c r="G78" s="1">
        <v>20</v>
      </c>
      <c r="H78" s="1">
        <v>114</v>
      </c>
      <c r="I78" s="1">
        <v>-10.63</v>
      </c>
      <c r="J78" s="1">
        <v>-72.2</v>
      </c>
      <c r="K78" s="1">
        <v>1.2E-5</v>
      </c>
      <c r="L78" s="1">
        <v>-14.3</v>
      </c>
      <c r="M78" s="1">
        <v>20</v>
      </c>
      <c r="N78" s="1">
        <v>0.29410336937499998</v>
      </c>
      <c r="O78" s="1">
        <v>-14.3</v>
      </c>
      <c r="P78" s="1">
        <v>3.5114E-3</v>
      </c>
      <c r="Q78" s="1" t="s">
        <v>62</v>
      </c>
      <c r="R78" s="1">
        <v>831</v>
      </c>
      <c r="S78" s="1">
        <v>619.12</v>
      </c>
      <c r="T78" s="1">
        <v>3646</v>
      </c>
      <c r="U78" s="1">
        <v>6239</v>
      </c>
      <c r="V78" s="1">
        <v>6239</v>
      </c>
      <c r="W78" s="1">
        <v>0.19750000000000001</v>
      </c>
      <c r="X78" s="1">
        <v>5</v>
      </c>
      <c r="Y78" s="1">
        <v>23</v>
      </c>
      <c r="Z78" s="1">
        <v>1</v>
      </c>
      <c r="AA78" s="1">
        <v>1.95E-2</v>
      </c>
      <c r="AB78" s="1" t="s">
        <v>63</v>
      </c>
      <c r="AC78" s="1" t="s">
        <v>81</v>
      </c>
      <c r="AD78" s="1">
        <v>40</v>
      </c>
      <c r="AE78" s="1">
        <v>8.6920000000000002</v>
      </c>
      <c r="AF78" s="1">
        <v>200</v>
      </c>
      <c r="AG78" s="1" t="s">
        <v>65</v>
      </c>
      <c r="AH78" s="1" t="s">
        <v>82</v>
      </c>
      <c r="AI78" s="1">
        <v>2.869E-6</v>
      </c>
      <c r="AJ78" s="1">
        <v>2</v>
      </c>
      <c r="AK78" s="1">
        <v>4.2399999999999999E-7</v>
      </c>
      <c r="AL78" s="1">
        <v>25.6557754257</v>
      </c>
      <c r="AM78" s="1">
        <v>390.76273950400002</v>
      </c>
      <c r="AN78" s="1">
        <v>0.63115832068800004</v>
      </c>
      <c r="AO78" s="1">
        <v>697107.00592499995</v>
      </c>
      <c r="AP78" s="1">
        <v>-1.6495477996999999E-3</v>
      </c>
      <c r="AQ78" s="1">
        <v>-2.2548841225700001E-3</v>
      </c>
      <c r="AR78" s="1">
        <v>0.25</v>
      </c>
      <c r="AS78" s="1">
        <v>3.6516366388200001E-3</v>
      </c>
      <c r="AT78" s="1">
        <v>0.283015702142</v>
      </c>
      <c r="AU78" s="1">
        <v>3.6194000887599998E-3</v>
      </c>
      <c r="AV78" s="1">
        <v>0.28553640989000001</v>
      </c>
      <c r="AW78" s="1">
        <v>4</v>
      </c>
      <c r="AX78" s="1">
        <v>3.6233750345999998E-3</v>
      </c>
      <c r="AY78" s="1">
        <v>0.28472470702899999</v>
      </c>
      <c r="AZ78" s="1">
        <v>2.9839223660099998</v>
      </c>
      <c r="BA78" s="1">
        <v>-0.109823333659</v>
      </c>
      <c r="BB78" s="1">
        <v>3.0003037047999999</v>
      </c>
      <c r="BC78" s="1">
        <v>-0.284272980038</v>
      </c>
      <c r="BD78" s="1">
        <v>0.62441287079999996</v>
      </c>
      <c r="BE78" s="1">
        <v>1.6459209244399999</v>
      </c>
      <c r="BF78" s="1">
        <v>0.70904910333299997</v>
      </c>
      <c r="BG78" s="1">
        <v>1.73574192618</v>
      </c>
    </row>
    <row r="79" spans="1:59" x14ac:dyDescent="0.3">
      <c r="A79" s="1" t="s">
        <v>139</v>
      </c>
      <c r="B79" s="1" t="s">
        <v>83</v>
      </c>
      <c r="C79" s="1" t="s">
        <v>84</v>
      </c>
      <c r="D79" s="2">
        <v>43530.736226851855</v>
      </c>
      <c r="E79" s="1">
        <v>287.97500000000002</v>
      </c>
      <c r="F79" s="1">
        <v>0.2</v>
      </c>
      <c r="G79" s="1">
        <v>20</v>
      </c>
      <c r="H79" s="1">
        <v>114</v>
      </c>
      <c r="I79" s="1">
        <v>-10.55</v>
      </c>
      <c r="J79" s="1">
        <v>-72.099999999999994</v>
      </c>
      <c r="K79" s="1">
        <v>1.5999999999999999E-5</v>
      </c>
      <c r="L79" s="1">
        <v>-14.3</v>
      </c>
      <c r="M79" s="1">
        <v>20</v>
      </c>
      <c r="N79" s="1">
        <v>0.29682467434600002</v>
      </c>
      <c r="O79" s="1">
        <v>-14.3</v>
      </c>
      <c r="P79" s="1">
        <v>3.4708E-3</v>
      </c>
      <c r="Q79" s="1" t="s">
        <v>62</v>
      </c>
      <c r="R79" s="1">
        <v>2345</v>
      </c>
      <c r="S79" s="1">
        <v>620.79</v>
      </c>
      <c r="T79" s="1">
        <v>3746</v>
      </c>
      <c r="U79" s="1">
        <v>6277</v>
      </c>
      <c r="V79" s="1">
        <v>6277</v>
      </c>
      <c r="W79" s="1">
        <v>0.19750000000000001</v>
      </c>
      <c r="X79" s="1">
        <v>5</v>
      </c>
      <c r="Y79" s="1">
        <v>23</v>
      </c>
      <c r="Z79" s="1">
        <v>1</v>
      </c>
      <c r="AA79" s="1">
        <v>2.2599999999999999E-2</v>
      </c>
      <c r="AB79" s="1" t="s">
        <v>63</v>
      </c>
      <c r="AC79" s="1" t="s">
        <v>85</v>
      </c>
      <c r="AD79" s="1">
        <v>40</v>
      </c>
      <c r="AE79" s="1">
        <v>8.6920000000000002</v>
      </c>
      <c r="AF79" s="1">
        <v>200</v>
      </c>
      <c r="AG79" s="1" t="s">
        <v>65</v>
      </c>
      <c r="AH79" s="1" t="s">
        <v>86</v>
      </c>
      <c r="AI79" s="1">
        <v>2.869E-6</v>
      </c>
      <c r="AJ79" s="1">
        <v>2</v>
      </c>
      <c r="AK79" s="1">
        <v>4.2399999999999999E-7</v>
      </c>
      <c r="AL79" s="1">
        <v>25.6557754257</v>
      </c>
      <c r="AM79" s="1">
        <v>388.77569889300003</v>
      </c>
      <c r="AN79" s="1">
        <v>0.62625960291299998</v>
      </c>
      <c r="AO79" s="1">
        <v>697107.00592499995</v>
      </c>
      <c r="AP79" s="1">
        <v>-1.66879976055E-3</v>
      </c>
      <c r="AQ79" s="1">
        <v>-2.27413608342E-3</v>
      </c>
      <c r="AR79" s="1">
        <v>0.25</v>
      </c>
      <c r="AS79" s="1">
        <v>3.6703002289599999E-3</v>
      </c>
      <c r="AT79" s="1">
        <v>0.281576558546</v>
      </c>
      <c r="AU79" s="1">
        <v>3.6350333369199999E-3</v>
      </c>
      <c r="AV79" s="1">
        <v>0.28430839871699998</v>
      </c>
      <c r="AW79" s="1">
        <v>4</v>
      </c>
      <c r="AX79" s="1">
        <v>3.5814803411999998E-3</v>
      </c>
      <c r="AY79" s="1">
        <v>0.28735923230600002</v>
      </c>
      <c r="AZ79" s="1">
        <v>4.5180696212999996</v>
      </c>
      <c r="BA79" s="1">
        <v>1.4732463434500001</v>
      </c>
      <c r="BB79" s="1">
        <v>4.4023587364700001</v>
      </c>
      <c r="BC79" s="1">
        <v>1.07307191872</v>
      </c>
      <c r="BD79" s="1">
        <v>-0.26959862789900002</v>
      </c>
      <c r="BE79" s="1">
        <v>0.74095694051700001</v>
      </c>
      <c r="BF79" s="1">
        <v>0</v>
      </c>
      <c r="BG79" s="1">
        <v>1.1175228479199999</v>
      </c>
    </row>
    <row r="80" spans="1:59" x14ac:dyDescent="0.3">
      <c r="A80" s="1" t="s">
        <v>139</v>
      </c>
      <c r="B80" s="1" t="s">
        <v>87</v>
      </c>
      <c r="C80" s="1" t="s">
        <v>88</v>
      </c>
      <c r="D80" s="2">
        <v>43530.750300925924</v>
      </c>
      <c r="E80" s="1">
        <v>288.97500000000002</v>
      </c>
      <c r="F80" s="1">
        <v>0.2</v>
      </c>
      <c r="G80" s="1">
        <v>20</v>
      </c>
      <c r="H80" s="1">
        <v>114</v>
      </c>
      <c r="I80" s="1">
        <v>-10.06</v>
      </c>
      <c r="J80" s="1">
        <v>107.9</v>
      </c>
      <c r="K80" s="1">
        <v>1.8E-5</v>
      </c>
      <c r="L80" s="1">
        <v>-12.3</v>
      </c>
      <c r="M80" s="1">
        <v>20</v>
      </c>
      <c r="N80" s="1">
        <v>0.31405086938799998</v>
      </c>
      <c r="O80" s="1">
        <v>-12.3</v>
      </c>
      <c r="P80" s="1">
        <v>3.2973999999999998E-3</v>
      </c>
      <c r="Q80" s="1" t="s">
        <v>62</v>
      </c>
      <c r="R80" s="1">
        <v>2347</v>
      </c>
      <c r="S80" s="1">
        <v>639.15</v>
      </c>
      <c r="T80" s="1">
        <v>3957</v>
      </c>
      <c r="U80" s="1">
        <v>6665</v>
      </c>
      <c r="V80" s="1">
        <v>6665</v>
      </c>
      <c r="W80" s="1">
        <v>0.19750000000000001</v>
      </c>
      <c r="X80" s="1">
        <v>5</v>
      </c>
      <c r="Y80" s="1">
        <v>23</v>
      </c>
      <c r="Z80" s="1">
        <v>1</v>
      </c>
      <c r="AA80" s="1">
        <v>2.4199999999999999E-2</v>
      </c>
      <c r="AB80" s="1" t="s">
        <v>63</v>
      </c>
      <c r="AC80" s="1" t="s">
        <v>89</v>
      </c>
      <c r="AD80" s="1">
        <v>40</v>
      </c>
      <c r="AE80" s="1">
        <v>8.6920000000000002</v>
      </c>
      <c r="AF80" s="1">
        <v>200</v>
      </c>
      <c r="AG80" s="1" t="s">
        <v>65</v>
      </c>
      <c r="AH80" s="1" t="s">
        <v>90</v>
      </c>
      <c r="AI80" s="1">
        <v>2.869E-6</v>
      </c>
      <c r="AJ80" s="1">
        <v>2</v>
      </c>
      <c r="AK80" s="1">
        <v>4.2399999999999999E-7</v>
      </c>
      <c r="AL80" s="1">
        <v>25.6557754257</v>
      </c>
      <c r="AM80" s="1">
        <v>401.04827245299998</v>
      </c>
      <c r="AN80" s="1">
        <v>0.62747128601000002</v>
      </c>
      <c r="AO80" s="1">
        <v>697107.00592499995</v>
      </c>
      <c r="AP80" s="1">
        <v>-1.66403784598E-3</v>
      </c>
      <c r="AQ80" s="1">
        <v>-2.2693741688500002E-3</v>
      </c>
      <c r="AR80" s="1">
        <v>0.25</v>
      </c>
      <c r="AS80" s="1">
        <v>3.5579844988000001E-3</v>
      </c>
      <c r="AT80" s="1">
        <v>0.29046515173199999</v>
      </c>
      <c r="AU80" s="1">
        <v>3.5244849460000002E-3</v>
      </c>
      <c r="AV80" s="1">
        <v>0.29322596723599997</v>
      </c>
      <c r="AW80" s="1">
        <v>4</v>
      </c>
      <c r="AX80" s="1">
        <v>3.3878443845999999E-3</v>
      </c>
      <c r="AY80" s="1">
        <v>0.30543676809100001</v>
      </c>
      <c r="AZ80" s="1">
        <v>6.4430675540499998</v>
      </c>
      <c r="BA80" s="1">
        <v>3.8768944539899999</v>
      </c>
      <c r="BB80" s="1">
        <v>7.1019979394900004</v>
      </c>
      <c r="BC80" s="1">
        <v>4.1642972380099996</v>
      </c>
      <c r="BD80" s="1">
        <v>-0.80579149677499995</v>
      </c>
      <c r="BE80" s="1">
        <v>0.57858474961399997</v>
      </c>
      <c r="BF80" s="1">
        <v>-0.246895603869</v>
      </c>
      <c r="BG80" s="1">
        <v>1.38771511734</v>
      </c>
    </row>
    <row r="81" spans="1:59" x14ac:dyDescent="0.3">
      <c r="A81" s="1" t="s">
        <v>139</v>
      </c>
      <c r="B81" s="1" t="s">
        <v>91</v>
      </c>
      <c r="C81" s="1" t="s">
        <v>136</v>
      </c>
      <c r="D81" s="2">
        <v>43530.764062499999</v>
      </c>
      <c r="E81" s="1">
        <v>287.97500000000002</v>
      </c>
      <c r="F81" s="1">
        <v>0.2</v>
      </c>
      <c r="G81" s="1">
        <v>20</v>
      </c>
      <c r="H81" s="1">
        <v>114</v>
      </c>
      <c r="I81" s="1">
        <v>-10.6</v>
      </c>
      <c r="J81" s="1">
        <v>-71.900000000000006</v>
      </c>
      <c r="K81" s="1">
        <v>1.4E-5</v>
      </c>
      <c r="L81" s="1">
        <v>-12.3</v>
      </c>
      <c r="M81" s="1">
        <v>20</v>
      </c>
      <c r="N81" s="1">
        <v>0.29512092266700002</v>
      </c>
      <c r="O81" s="1">
        <v>-12.3</v>
      </c>
      <c r="P81" s="1">
        <v>3.4859000000000001E-3</v>
      </c>
      <c r="Q81" s="1" t="s">
        <v>62</v>
      </c>
      <c r="R81" s="1">
        <v>2493</v>
      </c>
      <c r="S81" s="1">
        <v>621.46</v>
      </c>
      <c r="T81" s="1">
        <v>3761</v>
      </c>
      <c r="U81" s="1">
        <v>6296</v>
      </c>
      <c r="V81" s="1">
        <v>6296</v>
      </c>
      <c r="W81" s="1">
        <v>0.19750000000000001</v>
      </c>
      <c r="X81" s="1">
        <v>5</v>
      </c>
      <c r="Y81" s="1">
        <v>23</v>
      </c>
      <c r="Z81" s="1">
        <v>1</v>
      </c>
      <c r="AA81" s="1">
        <v>2.3400000000000001E-2</v>
      </c>
      <c r="AB81" s="1" t="s">
        <v>63</v>
      </c>
      <c r="AC81" s="1" t="s">
        <v>93</v>
      </c>
      <c r="AD81" s="1">
        <v>40</v>
      </c>
      <c r="AE81" s="1">
        <v>8.6920000000000002</v>
      </c>
      <c r="AF81" s="1">
        <v>200</v>
      </c>
      <c r="AG81" s="1" t="s">
        <v>65</v>
      </c>
      <c r="AH81" s="1" t="s">
        <v>94</v>
      </c>
      <c r="AI81" s="1">
        <v>2.8729999999999999E-6</v>
      </c>
      <c r="AJ81" s="1">
        <v>2</v>
      </c>
      <c r="AK81" s="1">
        <v>4.2399999999999999E-7</v>
      </c>
      <c r="AL81" s="1">
        <v>25.6557754257</v>
      </c>
      <c r="AM81" s="1">
        <v>389.05361042099997</v>
      </c>
      <c r="AN81" s="1">
        <v>0.62603161976699995</v>
      </c>
      <c r="AO81" s="1">
        <v>696136.44274299999</v>
      </c>
      <c r="AP81" s="1">
        <v>-1.6696957343100001E-3</v>
      </c>
      <c r="AQ81" s="1">
        <v>-2.2750320571800001E-3</v>
      </c>
      <c r="AR81" s="1">
        <v>0.25</v>
      </c>
      <c r="AS81" s="1">
        <v>3.67279196279E-3</v>
      </c>
      <c r="AT81" s="1">
        <v>0.28138552844100001</v>
      </c>
      <c r="AU81" s="1">
        <v>3.63737257517E-3</v>
      </c>
      <c r="AV81" s="1">
        <v>0.28412555654999999</v>
      </c>
      <c r="AW81" s="1">
        <v>4</v>
      </c>
      <c r="AX81" s="1">
        <v>3.5815147511E-3</v>
      </c>
      <c r="AY81" s="1">
        <v>0.28702605087900002</v>
      </c>
      <c r="AZ81" s="1">
        <v>4.1643403869800002</v>
      </c>
      <c r="BA81" s="1">
        <v>1.5356640794500001</v>
      </c>
      <c r="BB81" s="1">
        <v>3.86989690394</v>
      </c>
      <c r="BC81" s="1">
        <v>1.0208495017699999</v>
      </c>
      <c r="BD81" s="1">
        <v>-0.134712622882</v>
      </c>
      <c r="BE81" s="1">
        <v>1.3128015047399999</v>
      </c>
      <c r="BF81" s="1">
        <v>0</v>
      </c>
      <c r="BG81" s="1">
        <v>1.5750831166499999</v>
      </c>
    </row>
    <row r="82" spans="1:59" x14ac:dyDescent="0.3">
      <c r="A82" s="1" t="s">
        <v>139</v>
      </c>
      <c r="B82" s="1" t="s">
        <v>95</v>
      </c>
      <c r="C82" s="1" t="s">
        <v>96</v>
      </c>
      <c r="D82" s="2">
        <v>43530.77789351852</v>
      </c>
      <c r="E82" s="1">
        <v>286.97500000000002</v>
      </c>
      <c r="F82" s="1">
        <v>0.2</v>
      </c>
      <c r="G82" s="1">
        <v>20</v>
      </c>
      <c r="H82" s="1">
        <v>113</v>
      </c>
      <c r="I82" s="1">
        <v>-10.92</v>
      </c>
      <c r="J82" s="1">
        <v>107.7</v>
      </c>
      <c r="K82" s="1">
        <v>1.5E-5</v>
      </c>
      <c r="L82" s="1">
        <v>-12.3</v>
      </c>
      <c r="M82" s="1">
        <v>20</v>
      </c>
      <c r="N82" s="1">
        <v>0.28444611074499998</v>
      </c>
      <c r="O82" s="1">
        <v>-12.3</v>
      </c>
      <c r="P82" s="1">
        <v>3.6162999999999998E-3</v>
      </c>
      <c r="Q82" s="1" t="s">
        <v>62</v>
      </c>
      <c r="R82" s="1">
        <v>2348</v>
      </c>
      <c r="S82" s="1">
        <v>601.74</v>
      </c>
      <c r="T82" s="1">
        <v>3754</v>
      </c>
      <c r="U82" s="1">
        <v>5886</v>
      </c>
      <c r="V82" s="1">
        <v>5886</v>
      </c>
      <c r="W82" s="1">
        <v>0.19750000000000001</v>
      </c>
      <c r="X82" s="1">
        <v>5</v>
      </c>
      <c r="Y82" s="1">
        <v>23</v>
      </c>
      <c r="Z82" s="1">
        <v>1</v>
      </c>
      <c r="AA82" s="1">
        <v>2.07E-2</v>
      </c>
      <c r="AB82" s="1" t="s">
        <v>63</v>
      </c>
      <c r="AC82" s="1" t="s">
        <v>97</v>
      </c>
      <c r="AD82" s="1">
        <v>40</v>
      </c>
      <c r="AE82" s="1">
        <v>8.6920000000000002</v>
      </c>
      <c r="AF82" s="1">
        <v>200</v>
      </c>
      <c r="AG82" s="1" t="s">
        <v>65</v>
      </c>
      <c r="AH82" s="1" t="s">
        <v>98</v>
      </c>
      <c r="AI82" s="1">
        <v>2.8650000000000001E-6</v>
      </c>
      <c r="AJ82" s="1">
        <v>2</v>
      </c>
      <c r="AK82" s="1">
        <v>4.2399999999999999E-7</v>
      </c>
      <c r="AL82" s="1">
        <v>25.6557754257</v>
      </c>
      <c r="AM82" s="1">
        <v>367.41095850599999</v>
      </c>
      <c r="AN82" s="1">
        <v>0.61058091286299998</v>
      </c>
      <c r="AO82" s="1">
        <v>698080.279232</v>
      </c>
      <c r="AP82" s="1">
        <v>-1.73041701245E-3</v>
      </c>
      <c r="AQ82" s="1">
        <v>-2.3357533353199999E-3</v>
      </c>
      <c r="AR82" s="1">
        <v>0.25</v>
      </c>
      <c r="AS82" s="1">
        <v>3.8783113755300001E-3</v>
      </c>
      <c r="AT82" s="1">
        <v>0.26647435113700002</v>
      </c>
      <c r="AU82" s="1">
        <v>3.8315059108600001E-3</v>
      </c>
      <c r="AV82" s="1">
        <v>0.26972958709799999</v>
      </c>
      <c r="AW82" s="1">
        <v>4</v>
      </c>
      <c r="AX82" s="1">
        <v>3.7154914927000002E-3</v>
      </c>
      <c r="AY82" s="1">
        <v>0.276644038373</v>
      </c>
      <c r="AZ82" s="1">
        <v>5.6167448483599998</v>
      </c>
      <c r="BA82" s="1">
        <v>3.0279065428099998</v>
      </c>
      <c r="BB82" s="1">
        <v>5.4560286858899998</v>
      </c>
      <c r="BC82" s="1">
        <v>2.5634752750700001</v>
      </c>
      <c r="BD82" s="1">
        <v>-0.138326812572</v>
      </c>
      <c r="BE82" s="1">
        <v>1.28700911462</v>
      </c>
      <c r="BF82" s="1">
        <v>0.121340876983</v>
      </c>
      <c r="BG82" s="1">
        <v>1.7153078239999999</v>
      </c>
    </row>
    <row r="83" spans="1:59" x14ac:dyDescent="0.3">
      <c r="A83" s="1" t="s">
        <v>139</v>
      </c>
      <c r="B83" s="1" t="s">
        <v>99</v>
      </c>
      <c r="C83" s="1" t="s">
        <v>100</v>
      </c>
      <c r="D83" s="2">
        <v>43530.791817129626</v>
      </c>
      <c r="E83" s="1">
        <v>287.97500000000002</v>
      </c>
      <c r="F83" s="1">
        <v>0.2</v>
      </c>
      <c r="G83" s="1">
        <v>20</v>
      </c>
      <c r="H83" s="1">
        <v>114</v>
      </c>
      <c r="I83" s="1">
        <v>-10.36</v>
      </c>
      <c r="J83" s="1">
        <v>107.6</v>
      </c>
      <c r="K83" s="1">
        <v>1.4E-5</v>
      </c>
      <c r="L83" s="1">
        <v>-10.8</v>
      </c>
      <c r="M83" s="1">
        <v>20</v>
      </c>
      <c r="N83" s="1">
        <v>0.30338911841900001</v>
      </c>
      <c r="O83" s="1">
        <v>-10.8</v>
      </c>
      <c r="P83" s="1">
        <v>3.3852999999999999E-3</v>
      </c>
      <c r="Q83" s="1" t="s">
        <v>62</v>
      </c>
      <c r="R83" s="1">
        <v>1192</v>
      </c>
      <c r="S83" s="1">
        <v>619.20000000000005</v>
      </c>
      <c r="T83" s="1">
        <v>3774</v>
      </c>
      <c r="U83" s="1">
        <v>6249</v>
      </c>
      <c r="V83" s="1">
        <v>6249</v>
      </c>
      <c r="W83" s="1">
        <v>0.19750000000000001</v>
      </c>
      <c r="X83" s="1">
        <v>5</v>
      </c>
      <c r="Y83" s="1">
        <v>23</v>
      </c>
      <c r="Z83" s="1">
        <v>1</v>
      </c>
      <c r="AA83" s="1">
        <v>2.3300000000000001E-2</v>
      </c>
      <c r="AB83" s="1" t="s">
        <v>63</v>
      </c>
      <c r="AC83" s="1" t="s">
        <v>101</v>
      </c>
      <c r="AD83" s="1">
        <v>40</v>
      </c>
      <c r="AE83" s="1">
        <v>8.6920000000000002</v>
      </c>
      <c r="AF83" s="1">
        <v>200</v>
      </c>
      <c r="AG83" s="1" t="s">
        <v>65</v>
      </c>
      <c r="AH83" s="1" t="s">
        <v>102</v>
      </c>
      <c r="AI83" s="1">
        <v>2.8669999999999998E-6</v>
      </c>
      <c r="AJ83" s="1">
        <v>2</v>
      </c>
      <c r="AK83" s="1">
        <v>4.2399999999999999E-7</v>
      </c>
      <c r="AL83" s="1">
        <v>25.6557754257</v>
      </c>
      <c r="AM83" s="1">
        <v>386.05016462100002</v>
      </c>
      <c r="AN83" s="1">
        <v>0.62346602813499996</v>
      </c>
      <c r="AO83" s="1">
        <v>697593.30310400005</v>
      </c>
      <c r="AP83" s="1">
        <v>-1.67977850943E-3</v>
      </c>
      <c r="AQ83" s="1">
        <v>-2.2851148323000002E-3</v>
      </c>
      <c r="AR83" s="1">
        <v>0.25</v>
      </c>
      <c r="AS83" s="1">
        <v>3.6936360839600001E-3</v>
      </c>
      <c r="AT83" s="1">
        <v>0.27979759884599997</v>
      </c>
      <c r="AU83" s="1">
        <v>3.6565157529700001E-3</v>
      </c>
      <c r="AV83" s="1">
        <v>0.282638056862</v>
      </c>
      <c r="AW83" s="1">
        <v>4</v>
      </c>
      <c r="AX83" s="1">
        <v>3.4668315652000002E-3</v>
      </c>
      <c r="AY83" s="1">
        <v>0.29608229489100002</v>
      </c>
      <c r="AZ83" s="1">
        <v>7.4173276225000002</v>
      </c>
      <c r="BA83" s="1">
        <v>5.1875665409599998</v>
      </c>
      <c r="BB83" s="1">
        <v>7.3419205425599996</v>
      </c>
      <c r="BC83" s="1">
        <v>4.7566977282099998</v>
      </c>
      <c r="BD83" s="1">
        <v>0.89429397298400004</v>
      </c>
      <c r="BE83" s="1">
        <v>3.6465747670300002</v>
      </c>
      <c r="BF83" s="1">
        <v>0.12351084085</v>
      </c>
      <c r="BG83" s="1">
        <v>3.2527076083700002</v>
      </c>
    </row>
    <row r="84" spans="1:59" x14ac:dyDescent="0.3">
      <c r="A84" s="1" t="s">
        <v>139</v>
      </c>
      <c r="B84" s="1" t="s">
        <v>103</v>
      </c>
      <c r="C84" s="1" t="s">
        <v>104</v>
      </c>
      <c r="D84" s="2">
        <v>43530.805810185186</v>
      </c>
      <c r="E84" s="1">
        <v>286.97500000000002</v>
      </c>
      <c r="F84" s="1">
        <v>0.2</v>
      </c>
      <c r="G84" s="1">
        <v>20</v>
      </c>
      <c r="H84" s="1">
        <v>113</v>
      </c>
      <c r="I84" s="1">
        <v>-10.34</v>
      </c>
      <c r="J84" s="1">
        <v>-72.099999999999994</v>
      </c>
      <c r="K84" s="1">
        <v>1.1E-5</v>
      </c>
      <c r="L84" s="1">
        <v>-10.8</v>
      </c>
      <c r="M84" s="1">
        <v>20</v>
      </c>
      <c r="N84" s="1">
        <v>0.30408850256800002</v>
      </c>
      <c r="O84" s="1">
        <v>-10.8</v>
      </c>
      <c r="P84" s="1">
        <v>3.3827000000000002E-3</v>
      </c>
      <c r="Q84" s="1" t="s">
        <v>62</v>
      </c>
      <c r="R84" s="1">
        <v>832</v>
      </c>
      <c r="S84" s="1">
        <v>628.26</v>
      </c>
      <c r="T84" s="1">
        <v>3591</v>
      </c>
      <c r="U84" s="1">
        <v>6355</v>
      </c>
      <c r="V84" s="1">
        <v>6355</v>
      </c>
      <c r="W84" s="1">
        <v>0.19750000000000001</v>
      </c>
      <c r="X84" s="1">
        <v>5</v>
      </c>
      <c r="Y84" s="1">
        <v>23</v>
      </c>
      <c r="Z84" s="1">
        <v>1</v>
      </c>
      <c r="AA84" s="1">
        <v>1.12E-2</v>
      </c>
      <c r="AB84" s="1" t="s">
        <v>63</v>
      </c>
      <c r="AC84" s="1" t="s">
        <v>105</v>
      </c>
      <c r="AD84" s="1">
        <v>40</v>
      </c>
      <c r="AE84" s="1">
        <v>8.6920000000000002</v>
      </c>
      <c r="AF84" s="1">
        <v>200</v>
      </c>
      <c r="AG84" s="1" t="s">
        <v>65</v>
      </c>
      <c r="AH84" s="1" t="s">
        <v>106</v>
      </c>
      <c r="AI84" s="1">
        <v>2.8669999999999998E-6</v>
      </c>
      <c r="AJ84" s="1">
        <v>2</v>
      </c>
      <c r="AK84" s="1">
        <v>4.2399999999999999E-7</v>
      </c>
      <c r="AL84" s="1">
        <v>25.6557754257</v>
      </c>
      <c r="AM84" s="1">
        <v>401.42693545100002</v>
      </c>
      <c r="AN84" s="1">
        <v>0.638950331792</v>
      </c>
      <c r="AO84" s="1">
        <v>697593.30310400005</v>
      </c>
      <c r="AP84" s="1">
        <v>-1.6189251960600001E-3</v>
      </c>
      <c r="AQ84" s="1">
        <v>-2.22426151893E-3</v>
      </c>
      <c r="AR84" s="1">
        <v>0.25</v>
      </c>
      <c r="AS84" s="1">
        <v>3.5521503226000001E-3</v>
      </c>
      <c r="AT84" s="1">
        <v>0.29094222187800001</v>
      </c>
      <c r="AU84" s="1">
        <v>3.52524020478E-3</v>
      </c>
      <c r="AV84" s="1">
        <v>0.29316314556400003</v>
      </c>
      <c r="AW84" s="1">
        <v>4</v>
      </c>
      <c r="AX84" s="1">
        <v>3.4641689468000001E-3</v>
      </c>
      <c r="AY84" s="1">
        <v>0.29676483507200002</v>
      </c>
      <c r="AZ84" s="1">
        <v>4.0434182212099996</v>
      </c>
      <c r="BA84" s="1">
        <v>1.7323999056499999</v>
      </c>
      <c r="BB84" s="1">
        <v>3.7267157107100002</v>
      </c>
      <c r="BC84" s="1">
        <v>1.2285614895300001</v>
      </c>
      <c r="BD84" s="1">
        <v>-0.218424832145</v>
      </c>
      <c r="BE84" s="1">
        <v>2.3169180950900001</v>
      </c>
      <c r="BF84" s="1">
        <v>-0.23911477475199999</v>
      </c>
      <c r="BG84" s="1">
        <v>2.5255853090799998</v>
      </c>
    </row>
    <row r="85" spans="1:59" x14ac:dyDescent="0.3">
      <c r="A85" s="1" t="s">
        <v>139</v>
      </c>
      <c r="B85" s="1" t="s">
        <v>107</v>
      </c>
      <c r="C85" s="1" t="s">
        <v>108</v>
      </c>
      <c r="D85" s="2">
        <v>43530.819606481484</v>
      </c>
      <c r="E85" s="1">
        <v>288.97500000000002</v>
      </c>
      <c r="F85" s="1">
        <v>0.2</v>
      </c>
      <c r="G85" s="1">
        <v>20</v>
      </c>
      <c r="H85" s="1">
        <v>114</v>
      </c>
      <c r="I85" s="1">
        <v>-11.61</v>
      </c>
      <c r="J85" s="1">
        <v>-72.599999999999994</v>
      </c>
      <c r="K85" s="1">
        <v>1.2E-5</v>
      </c>
      <c r="L85" s="1">
        <v>-10.8</v>
      </c>
      <c r="M85" s="1">
        <v>20</v>
      </c>
      <c r="N85" s="1">
        <v>0.262724152647</v>
      </c>
      <c r="O85" s="1">
        <v>-10.8</v>
      </c>
      <c r="P85" s="1">
        <v>3.9318000000000001E-3</v>
      </c>
      <c r="Q85" s="1" t="s">
        <v>62</v>
      </c>
      <c r="R85" s="1">
        <v>822</v>
      </c>
      <c r="S85" s="1">
        <v>619.91999999999996</v>
      </c>
      <c r="T85" s="1">
        <v>3790</v>
      </c>
      <c r="U85" s="1">
        <v>6255</v>
      </c>
      <c r="V85" s="1">
        <v>6255</v>
      </c>
      <c r="W85" s="1">
        <v>0.19750000000000001</v>
      </c>
      <c r="X85" s="1">
        <v>5</v>
      </c>
      <c r="Y85" s="1">
        <v>23</v>
      </c>
      <c r="Z85" s="1">
        <v>1</v>
      </c>
      <c r="AA85" s="1">
        <v>2.1899999999999999E-2</v>
      </c>
      <c r="AB85" s="1" t="s">
        <v>63</v>
      </c>
      <c r="AC85" s="1" t="s">
        <v>109</v>
      </c>
      <c r="AD85" s="1">
        <v>40</v>
      </c>
      <c r="AE85" s="1">
        <v>8.6920000000000002</v>
      </c>
      <c r="AF85" s="1">
        <v>200</v>
      </c>
      <c r="AG85" s="1" t="s">
        <v>65</v>
      </c>
      <c r="AH85" s="1" t="s">
        <v>110</v>
      </c>
      <c r="AI85" s="1">
        <v>2.8669999999999998E-6</v>
      </c>
      <c r="AJ85" s="1">
        <v>2</v>
      </c>
      <c r="AK85" s="1">
        <v>4.2399999999999999E-7</v>
      </c>
      <c r="AL85" s="1">
        <v>25.6557754257</v>
      </c>
      <c r="AM85" s="1">
        <v>386.02285714300001</v>
      </c>
      <c r="AN85" s="1">
        <v>0.62269785963199997</v>
      </c>
      <c r="AO85" s="1">
        <v>697593.30310400005</v>
      </c>
      <c r="AP85" s="1">
        <v>-1.6827974116500001E-3</v>
      </c>
      <c r="AQ85" s="1">
        <v>-2.2881337345199999E-3</v>
      </c>
      <c r="AR85" s="1">
        <v>0.25</v>
      </c>
      <c r="AS85" s="1">
        <v>3.6938973739000002E-3</v>
      </c>
      <c r="AT85" s="1">
        <v>0.279777807203</v>
      </c>
      <c r="AU85" s="1">
        <v>3.6563194701999999E-3</v>
      </c>
      <c r="AV85" s="1">
        <v>0.28265322976399998</v>
      </c>
      <c r="AW85" s="1">
        <v>4</v>
      </c>
      <c r="AX85" s="1">
        <v>4.0264934711999999E-3</v>
      </c>
      <c r="AY85" s="1">
        <v>0.25639670415499999</v>
      </c>
      <c r="AZ85" s="1">
        <v>-7.5343670608000002</v>
      </c>
      <c r="BA85" s="1">
        <v>-10.1242247571</v>
      </c>
      <c r="BB85" s="1">
        <v>-7.05071622003</v>
      </c>
      <c r="BC85" s="1">
        <v>-9.2893067705799997</v>
      </c>
      <c r="BD85" s="1">
        <v>-2.86627032605</v>
      </c>
      <c r="BE85" s="1">
        <v>-0.157724297535</v>
      </c>
      <c r="BF85" s="1">
        <v>0.21377742043299999</v>
      </c>
      <c r="BG85" s="1">
        <v>2.6695509372999999</v>
      </c>
    </row>
    <row r="86" spans="1:59" x14ac:dyDescent="0.3">
      <c r="A86" s="1" t="s">
        <v>139</v>
      </c>
      <c r="B86" s="1" t="s">
        <v>111</v>
      </c>
      <c r="C86" s="1" t="s">
        <v>112</v>
      </c>
      <c r="D86" s="2">
        <v>43530.834409722222</v>
      </c>
      <c r="E86" s="1">
        <v>287.97500000000002</v>
      </c>
      <c r="F86" s="1">
        <v>0.2</v>
      </c>
      <c r="G86" s="1">
        <v>20</v>
      </c>
      <c r="H86" s="1">
        <v>114</v>
      </c>
      <c r="I86" s="1">
        <v>-10.46</v>
      </c>
      <c r="J86" s="1">
        <v>-72.5</v>
      </c>
      <c r="K86" s="1">
        <v>1.5999999999999999E-5</v>
      </c>
      <c r="L86" s="1">
        <v>-9.1999999999999993</v>
      </c>
      <c r="M86" s="1">
        <v>20</v>
      </c>
      <c r="N86" s="1">
        <v>0.29991625189900001</v>
      </c>
      <c r="O86" s="1">
        <v>-9.1999999999999993</v>
      </c>
      <c r="P86" s="1">
        <v>3.4397E-3</v>
      </c>
      <c r="Q86" s="1" t="s">
        <v>62</v>
      </c>
      <c r="R86" s="1">
        <v>2474</v>
      </c>
      <c r="S86" s="1">
        <v>626.6</v>
      </c>
      <c r="T86" s="1">
        <v>3619</v>
      </c>
      <c r="U86" s="1">
        <v>6407</v>
      </c>
      <c r="V86" s="1">
        <v>6407</v>
      </c>
      <c r="W86" s="1">
        <v>0.19750000000000001</v>
      </c>
      <c r="X86" s="1">
        <v>5</v>
      </c>
      <c r="Y86" s="1">
        <v>23</v>
      </c>
      <c r="Z86" s="1">
        <v>1</v>
      </c>
      <c r="AA86" s="1">
        <v>2.4400000000000002E-2</v>
      </c>
      <c r="AB86" s="1" t="s">
        <v>63</v>
      </c>
      <c r="AC86" s="1" t="s">
        <v>113</v>
      </c>
      <c r="AD86" s="1">
        <v>40</v>
      </c>
      <c r="AE86" s="1">
        <v>8.6920000000000002</v>
      </c>
      <c r="AF86" s="1">
        <v>200</v>
      </c>
      <c r="AG86" s="1" t="s">
        <v>65</v>
      </c>
      <c r="AH86" s="1" t="s">
        <v>114</v>
      </c>
      <c r="AI86" s="1">
        <v>2.864E-6</v>
      </c>
      <c r="AJ86" s="1">
        <v>2</v>
      </c>
      <c r="AK86" s="1">
        <v>4.2399999999999999E-7</v>
      </c>
      <c r="AL86" s="1">
        <v>25.6557754257</v>
      </c>
      <c r="AM86" s="1">
        <v>400.42152403799997</v>
      </c>
      <c r="AN86" s="1">
        <v>0.63903849989999995</v>
      </c>
      <c r="AO86" s="1">
        <v>698324.02234599995</v>
      </c>
      <c r="AP86" s="1">
        <v>-1.61857869539E-3</v>
      </c>
      <c r="AQ86" s="1">
        <v>-2.2239150182600002E-3</v>
      </c>
      <c r="AR86" s="1">
        <v>0.25</v>
      </c>
      <c r="AS86" s="1">
        <v>3.5573430876300002E-3</v>
      </c>
      <c r="AT86" s="1">
        <v>0.29051752441200002</v>
      </c>
      <c r="AU86" s="1">
        <v>3.5304434487899998E-3</v>
      </c>
      <c r="AV86" s="1">
        <v>0.29273107537100002</v>
      </c>
      <c r="AW86" s="1">
        <v>4</v>
      </c>
      <c r="AX86" s="1">
        <v>3.5102688852000001E-3</v>
      </c>
      <c r="AY86" s="1">
        <v>0.29376317007500002</v>
      </c>
      <c r="AZ86" s="1">
        <v>2.57031305299</v>
      </c>
      <c r="BA86" s="1">
        <v>0.57144559557999997</v>
      </c>
      <c r="BB86" s="1">
        <v>2.4545315247100001</v>
      </c>
      <c r="BC86" s="1">
        <v>0.35257435595300002</v>
      </c>
      <c r="BD86" s="1">
        <v>-0.84125409260299999</v>
      </c>
      <c r="BE86" s="1">
        <v>2.0492815095200001</v>
      </c>
      <c r="BF86" s="1">
        <v>-0.35447722358799999</v>
      </c>
      <c r="BG86" s="1">
        <v>2.7478604395000001</v>
      </c>
    </row>
    <row r="87" spans="1:59" x14ac:dyDescent="0.3">
      <c r="A87" s="1" t="s">
        <v>139</v>
      </c>
      <c r="B87" s="1" t="s">
        <v>115</v>
      </c>
      <c r="C87" s="1" t="s">
        <v>116</v>
      </c>
      <c r="D87" s="2">
        <v>43530.847326388888</v>
      </c>
      <c r="E87" s="1">
        <v>288.97500000000002</v>
      </c>
      <c r="F87" s="1">
        <v>0.2</v>
      </c>
      <c r="G87" s="1">
        <v>20</v>
      </c>
      <c r="H87" s="1">
        <v>114</v>
      </c>
      <c r="I87" s="1">
        <v>-10.85</v>
      </c>
      <c r="J87" s="1">
        <v>107.5</v>
      </c>
      <c r="K87" s="1">
        <v>2.0999999999999999E-5</v>
      </c>
      <c r="L87" s="1">
        <v>-9.1999999999999993</v>
      </c>
      <c r="M87" s="1">
        <v>20</v>
      </c>
      <c r="N87" s="1">
        <v>0.28674773755799998</v>
      </c>
      <c r="O87" s="1">
        <v>-9.1999999999999993</v>
      </c>
      <c r="P87" s="1">
        <v>3.6013E-3</v>
      </c>
      <c r="Q87" s="1" t="s">
        <v>62</v>
      </c>
      <c r="R87" s="1">
        <v>2349</v>
      </c>
      <c r="S87" s="1">
        <v>615.83000000000004</v>
      </c>
      <c r="T87" s="1">
        <v>3762</v>
      </c>
      <c r="U87" s="1">
        <v>6164</v>
      </c>
      <c r="V87" s="1">
        <v>6164</v>
      </c>
      <c r="W87" s="1">
        <v>0.19750000000000001</v>
      </c>
      <c r="X87" s="1">
        <v>5</v>
      </c>
      <c r="Y87" s="1">
        <v>23</v>
      </c>
      <c r="Z87" s="1">
        <v>1</v>
      </c>
      <c r="AA87" s="1">
        <v>2.0500000000000001E-2</v>
      </c>
      <c r="AB87" s="1" t="s">
        <v>63</v>
      </c>
      <c r="AC87" s="1" t="s">
        <v>117</v>
      </c>
      <c r="AD87" s="1">
        <v>40</v>
      </c>
      <c r="AE87" s="1">
        <v>8.6920000000000002</v>
      </c>
      <c r="AF87" s="1">
        <v>200</v>
      </c>
      <c r="AG87" s="1" t="s">
        <v>65</v>
      </c>
      <c r="AH87" s="1" t="s">
        <v>118</v>
      </c>
      <c r="AI87" s="1">
        <v>2.869E-6</v>
      </c>
      <c r="AJ87" s="1">
        <v>2</v>
      </c>
      <c r="AK87" s="1">
        <v>4.2399999999999999E-7</v>
      </c>
      <c r="AL87" s="1">
        <v>25.6557754257</v>
      </c>
      <c r="AM87" s="1">
        <v>382.427576063</v>
      </c>
      <c r="AN87" s="1">
        <v>0.620995365706</v>
      </c>
      <c r="AO87" s="1">
        <v>697107.00592499995</v>
      </c>
      <c r="AP87" s="1">
        <v>-1.68948821277E-3</v>
      </c>
      <c r="AQ87" s="1">
        <v>-2.2948245356399998E-3</v>
      </c>
      <c r="AR87" s="1">
        <v>0.25</v>
      </c>
      <c r="AS87" s="1">
        <v>3.73122553386E-3</v>
      </c>
      <c r="AT87" s="1">
        <v>0.27697883655700001</v>
      </c>
      <c r="AU87" s="1">
        <v>3.69226557105E-3</v>
      </c>
      <c r="AV87" s="1">
        <v>0.27990145546599998</v>
      </c>
      <c r="AW87" s="1">
        <v>4</v>
      </c>
      <c r="AX87" s="1">
        <v>3.6751842707999998E-3</v>
      </c>
      <c r="AY87" s="1">
        <v>0.28086482097400001</v>
      </c>
      <c r="AZ87" s="1">
        <v>2.4636789878099998</v>
      </c>
      <c r="BA87" s="1">
        <v>0.462623825928</v>
      </c>
      <c r="BB87" s="1">
        <v>2.4459615907000001</v>
      </c>
      <c r="BC87" s="1">
        <v>0.34418024270199998</v>
      </c>
      <c r="BD87" s="1">
        <v>-1.19980535386</v>
      </c>
      <c r="BE87" s="1">
        <v>1.31057851254</v>
      </c>
      <c r="BF87" s="1">
        <v>-0.472869073571</v>
      </c>
      <c r="BG87" s="1">
        <v>2.2450384184400001</v>
      </c>
    </row>
    <row r="88" spans="1:59" x14ac:dyDescent="0.3">
      <c r="A88" s="1" t="s">
        <v>139</v>
      </c>
      <c r="B88" s="1" t="s">
        <v>119</v>
      </c>
      <c r="C88" s="1" t="s">
        <v>120</v>
      </c>
      <c r="D88" s="2">
        <v>43530.861493055556</v>
      </c>
      <c r="E88" s="1">
        <v>287.97500000000002</v>
      </c>
      <c r="F88" s="1">
        <v>0.2</v>
      </c>
      <c r="G88" s="1">
        <v>20</v>
      </c>
      <c r="H88" s="1">
        <v>114</v>
      </c>
      <c r="I88" s="1">
        <v>-10.52</v>
      </c>
      <c r="J88" s="1">
        <v>-72.3</v>
      </c>
      <c r="K88" s="1">
        <v>1.8E-5</v>
      </c>
      <c r="L88" s="1">
        <v>-9.1999999999999993</v>
      </c>
      <c r="M88" s="1">
        <v>20</v>
      </c>
      <c r="N88" s="1">
        <v>0.29785164294299998</v>
      </c>
      <c r="O88" s="1">
        <v>-9.1999999999999993</v>
      </c>
      <c r="P88" s="1">
        <v>3.4527999999999998E-3</v>
      </c>
      <c r="Q88" s="1" t="s">
        <v>62</v>
      </c>
      <c r="R88" s="1">
        <v>2350</v>
      </c>
      <c r="S88" s="1">
        <v>616.95000000000005</v>
      </c>
      <c r="T88" s="1">
        <v>3661</v>
      </c>
      <c r="U88" s="1">
        <v>6211</v>
      </c>
      <c r="V88" s="1">
        <v>6211</v>
      </c>
      <c r="W88" s="1">
        <v>0.19750000000000001</v>
      </c>
      <c r="X88" s="1">
        <v>5</v>
      </c>
      <c r="Y88" s="1">
        <v>23</v>
      </c>
      <c r="Z88" s="1">
        <v>1</v>
      </c>
      <c r="AA88" s="1">
        <v>2.4400000000000002E-2</v>
      </c>
      <c r="AB88" s="1" t="s">
        <v>63</v>
      </c>
      <c r="AC88" s="1" t="s">
        <v>121</v>
      </c>
      <c r="AD88" s="1">
        <v>40</v>
      </c>
      <c r="AE88" s="1">
        <v>8.6920000000000002</v>
      </c>
      <c r="AF88" s="1">
        <v>200</v>
      </c>
      <c r="AG88" s="1" t="s">
        <v>65</v>
      </c>
      <c r="AH88" s="1" t="s">
        <v>122</v>
      </c>
      <c r="AI88" s="1">
        <v>2.875E-6</v>
      </c>
      <c r="AJ88" s="1">
        <v>2</v>
      </c>
      <c r="AK88" s="1">
        <v>4.2399999999999999E-7</v>
      </c>
      <c r="AL88" s="1">
        <v>25.6557754257</v>
      </c>
      <c r="AM88" s="1">
        <v>388.15604234199998</v>
      </c>
      <c r="AN88" s="1">
        <v>0.62915316045400005</v>
      </c>
      <c r="AO88" s="1">
        <v>695652.17391300004</v>
      </c>
      <c r="AP88" s="1">
        <v>-1.6574280794199999E-3</v>
      </c>
      <c r="AQ88" s="1">
        <v>-2.2627644022899999E-3</v>
      </c>
      <c r="AR88" s="1">
        <v>0.25</v>
      </c>
      <c r="AS88" s="1">
        <v>3.6838475660799998E-3</v>
      </c>
      <c r="AT88" s="1">
        <v>0.28054106169300003</v>
      </c>
      <c r="AU88" s="1">
        <v>3.6501489754799999E-3</v>
      </c>
      <c r="AV88" s="1">
        <v>0.28313104869</v>
      </c>
      <c r="AW88" s="1">
        <v>4</v>
      </c>
      <c r="AX88" s="1">
        <v>3.5236376447999999E-3</v>
      </c>
      <c r="AY88" s="1">
        <v>0.29174091863599999</v>
      </c>
      <c r="AZ88" s="1">
        <v>5.4066005745399996</v>
      </c>
      <c r="BA88" s="1">
        <v>3.46592239193</v>
      </c>
      <c r="BB88" s="1">
        <v>5.1992158122900003</v>
      </c>
      <c r="BC88" s="1">
        <v>3.04094870069</v>
      </c>
      <c r="BD88" s="1">
        <v>-1.7752700077500001</v>
      </c>
      <c r="BE88" s="1">
        <v>0.63072481026500005</v>
      </c>
      <c r="BF88" s="1">
        <v>-0.242509238056</v>
      </c>
      <c r="BG88" s="1">
        <v>2.5370596344499998</v>
      </c>
    </row>
    <row r="89" spans="1:59" x14ac:dyDescent="0.3">
      <c r="A89" s="1" t="s">
        <v>139</v>
      </c>
      <c r="B89" s="1" t="s">
        <v>123</v>
      </c>
      <c r="C89" s="1" t="s">
        <v>124</v>
      </c>
      <c r="D89" s="2">
        <v>43530.875254629631</v>
      </c>
      <c r="E89" s="1">
        <v>287.97500000000002</v>
      </c>
      <c r="F89" s="1">
        <v>0.2</v>
      </c>
      <c r="G89" s="1">
        <v>20</v>
      </c>
      <c r="H89" s="1">
        <v>114</v>
      </c>
      <c r="I89" s="1">
        <v>-10.36</v>
      </c>
      <c r="J89" s="1">
        <v>-71.900000000000006</v>
      </c>
      <c r="K89" s="1">
        <v>1.5999999999999999E-5</v>
      </c>
      <c r="L89" s="1">
        <v>-8.4</v>
      </c>
      <c r="M89" s="1">
        <v>20</v>
      </c>
      <c r="N89" s="1">
        <v>0.30338911841900001</v>
      </c>
      <c r="O89" s="1">
        <v>-8.4</v>
      </c>
      <c r="P89" s="1">
        <v>3.3898999999999999E-3</v>
      </c>
      <c r="Q89" s="1" t="s">
        <v>62</v>
      </c>
      <c r="R89" s="1">
        <v>2911</v>
      </c>
      <c r="S89" s="1">
        <v>618.86</v>
      </c>
      <c r="T89" s="1">
        <v>3577</v>
      </c>
      <c r="U89" s="1">
        <v>6252</v>
      </c>
      <c r="V89" s="1">
        <v>6252</v>
      </c>
      <c r="W89" s="1">
        <v>0.19750000000000001</v>
      </c>
      <c r="X89" s="1">
        <v>5</v>
      </c>
      <c r="Y89" s="1">
        <v>23</v>
      </c>
      <c r="Z89" s="1">
        <v>1</v>
      </c>
      <c r="AA89" s="1">
        <v>2.4799999999999999E-2</v>
      </c>
      <c r="AB89" s="1" t="s">
        <v>63</v>
      </c>
      <c r="AC89" s="1" t="s">
        <v>125</v>
      </c>
      <c r="AD89" s="1">
        <v>40</v>
      </c>
      <c r="AE89" s="1">
        <v>8.6920000000000002</v>
      </c>
      <c r="AF89" s="1">
        <v>200</v>
      </c>
      <c r="AG89" s="1" t="s">
        <v>65</v>
      </c>
      <c r="AH89" s="1" t="s">
        <v>126</v>
      </c>
      <c r="AI89" s="1">
        <v>2.8660000000000002E-6</v>
      </c>
      <c r="AJ89" s="1">
        <v>2</v>
      </c>
      <c r="AK89" s="1">
        <v>4.2399999999999999E-7</v>
      </c>
      <c r="AL89" s="1">
        <v>25.6557754257</v>
      </c>
      <c r="AM89" s="1">
        <v>393.64255977200003</v>
      </c>
      <c r="AN89" s="1">
        <v>0.63607691525099996</v>
      </c>
      <c r="AO89" s="1">
        <v>697836.70621099998</v>
      </c>
      <c r="AP89" s="1">
        <v>-1.6302177230600001E-3</v>
      </c>
      <c r="AQ89" s="1">
        <v>-2.2355540459300001E-3</v>
      </c>
      <c r="AR89" s="1">
        <v>0.25</v>
      </c>
      <c r="AS89" s="1">
        <v>3.6211314647800002E-3</v>
      </c>
      <c r="AT89" s="1">
        <v>0.285399886017</v>
      </c>
      <c r="AU89" s="1">
        <v>3.5920201593800001E-3</v>
      </c>
      <c r="AV89" s="1">
        <v>0.28771289175600001</v>
      </c>
      <c r="AW89" s="1">
        <v>4</v>
      </c>
      <c r="AX89" s="1">
        <v>3.4533996067999998E-3</v>
      </c>
      <c r="AY89" s="1">
        <v>0.29770603345300001</v>
      </c>
      <c r="AZ89" s="1">
        <v>5.6269216322900002</v>
      </c>
      <c r="BA89" s="1">
        <v>3.8591251283000001</v>
      </c>
      <c r="BB89" s="1">
        <v>5.4485659533100002</v>
      </c>
      <c r="BC89" s="1">
        <v>3.4733034158699998</v>
      </c>
      <c r="BD89" s="1">
        <v>0.197660360604</v>
      </c>
      <c r="BE89" s="1">
        <v>2.8586115512700001</v>
      </c>
      <c r="BF89" s="1">
        <v>0.121332290138</v>
      </c>
      <c r="BG89" s="1">
        <v>3.0785441051500002</v>
      </c>
    </row>
    <row r="90" spans="1:59" x14ac:dyDescent="0.3">
      <c r="A90" s="1" t="s">
        <v>139</v>
      </c>
      <c r="B90" s="1" t="s">
        <v>127</v>
      </c>
      <c r="C90" s="1" t="s">
        <v>128</v>
      </c>
      <c r="D90" s="2">
        <v>43530.889016203706</v>
      </c>
      <c r="E90" s="1">
        <v>287.97500000000002</v>
      </c>
      <c r="F90" s="1">
        <v>0.2</v>
      </c>
      <c r="G90" s="1">
        <v>20</v>
      </c>
      <c r="H90" s="1">
        <v>114</v>
      </c>
      <c r="I90" s="1">
        <v>-11.24</v>
      </c>
      <c r="J90" s="1">
        <v>-72.599999999999994</v>
      </c>
      <c r="K90" s="1">
        <v>1.5E-5</v>
      </c>
      <c r="L90" s="1">
        <v>-8.4</v>
      </c>
      <c r="M90" s="1">
        <v>20</v>
      </c>
      <c r="N90" s="1">
        <v>0.27415741719300002</v>
      </c>
      <c r="O90" s="1">
        <v>-8.4</v>
      </c>
      <c r="P90" s="1">
        <v>3.7518E-3</v>
      </c>
      <c r="Q90" s="1" t="s">
        <v>62</v>
      </c>
      <c r="R90" s="1">
        <v>1466</v>
      </c>
      <c r="S90" s="1">
        <v>600.25</v>
      </c>
      <c r="T90" s="1">
        <v>3720</v>
      </c>
      <c r="U90" s="1">
        <v>5860</v>
      </c>
      <c r="V90" s="1">
        <v>5860</v>
      </c>
      <c r="W90" s="1">
        <v>0.19750000000000001</v>
      </c>
      <c r="X90" s="1">
        <v>5</v>
      </c>
      <c r="Y90" s="1">
        <v>23</v>
      </c>
      <c r="Z90" s="1">
        <v>1</v>
      </c>
      <c r="AA90" s="1">
        <v>2.1100000000000001E-2</v>
      </c>
      <c r="AB90" s="1" t="s">
        <v>63</v>
      </c>
      <c r="AC90" s="1" t="s">
        <v>129</v>
      </c>
      <c r="AD90" s="1">
        <v>40</v>
      </c>
      <c r="AE90" s="1">
        <v>8.6920000000000002</v>
      </c>
      <c r="AF90" s="1">
        <v>200</v>
      </c>
      <c r="AG90" s="1" t="s">
        <v>65</v>
      </c>
      <c r="AH90" s="1" t="s">
        <v>130</v>
      </c>
      <c r="AI90" s="1">
        <v>2.8650000000000001E-6</v>
      </c>
      <c r="AJ90" s="1">
        <v>2</v>
      </c>
      <c r="AK90" s="1">
        <v>4.2399999999999999E-7</v>
      </c>
      <c r="AL90" s="1">
        <v>25.6557754257</v>
      </c>
      <c r="AM90" s="1">
        <v>367.16753653400002</v>
      </c>
      <c r="AN90" s="1">
        <v>0.611691022965</v>
      </c>
      <c r="AO90" s="1">
        <v>698080.279232</v>
      </c>
      <c r="AP90" s="1">
        <v>-1.7260542797499999E-3</v>
      </c>
      <c r="AQ90" s="1">
        <v>-2.3313906026199999E-3</v>
      </c>
      <c r="AR90" s="1">
        <v>0.25</v>
      </c>
      <c r="AS90" s="1">
        <v>3.8808825892400001E-3</v>
      </c>
      <c r="AT90" s="1">
        <v>0.26629780302200001</v>
      </c>
      <c r="AU90" s="1">
        <v>3.83471709759E-3</v>
      </c>
      <c r="AV90" s="1">
        <v>0.26950371592</v>
      </c>
      <c r="AW90" s="1">
        <v>4</v>
      </c>
      <c r="AX90" s="1">
        <v>3.8220787175999998E-3</v>
      </c>
      <c r="AY90" s="1">
        <v>0.26902190045399998</v>
      </c>
      <c r="AZ90" s="1">
        <v>2.1622741778200001</v>
      </c>
      <c r="BA90" s="1">
        <v>0.329577897718</v>
      </c>
      <c r="BB90" s="1">
        <v>1.7267670159099999</v>
      </c>
      <c r="BC90" s="1">
        <v>-0.178778783833</v>
      </c>
      <c r="BD90" s="1">
        <v>0.94400705654999995</v>
      </c>
      <c r="BE90" s="1">
        <v>3.4729194099799998</v>
      </c>
      <c r="BF90" s="1">
        <v>0.58390411967599998</v>
      </c>
      <c r="BG90" s="1">
        <v>3.1442202882500001</v>
      </c>
    </row>
    <row r="91" spans="1:59" x14ac:dyDescent="0.3">
      <c r="A91" s="1" t="s">
        <v>139</v>
      </c>
      <c r="B91" s="1" t="s">
        <v>131</v>
      </c>
      <c r="C91" s="1" t="s">
        <v>132</v>
      </c>
      <c r="D91" s="2">
        <v>43530.903078703705</v>
      </c>
      <c r="E91" s="1">
        <v>286.97500000000002</v>
      </c>
      <c r="F91" s="1">
        <v>0.2</v>
      </c>
      <c r="G91" s="1">
        <v>20</v>
      </c>
      <c r="H91" s="1">
        <v>113</v>
      </c>
      <c r="I91" s="1">
        <v>-10.75</v>
      </c>
      <c r="J91" s="1">
        <v>-72.2</v>
      </c>
      <c r="K91" s="1">
        <v>2.0000000000000002E-5</v>
      </c>
      <c r="L91" s="1">
        <v>-8.4</v>
      </c>
      <c r="M91" s="1">
        <v>20</v>
      </c>
      <c r="N91" s="1">
        <v>0.290068119869</v>
      </c>
      <c r="O91" s="1">
        <v>-8.4</v>
      </c>
      <c r="P91" s="1">
        <v>3.5330000000000001E-3</v>
      </c>
      <c r="Q91" s="1" t="s">
        <v>62</v>
      </c>
      <c r="R91" s="1">
        <v>954</v>
      </c>
      <c r="S91" s="1">
        <v>609.74</v>
      </c>
      <c r="T91" s="1">
        <v>3688</v>
      </c>
      <c r="U91" s="1">
        <v>6046</v>
      </c>
      <c r="V91" s="1">
        <v>6046</v>
      </c>
      <c r="W91" s="1">
        <v>0.19750000000000001</v>
      </c>
      <c r="X91" s="1">
        <v>5</v>
      </c>
      <c r="Y91" s="1">
        <v>23</v>
      </c>
      <c r="Z91" s="1">
        <v>1</v>
      </c>
      <c r="AA91" s="1">
        <v>2.1000000000000001E-2</v>
      </c>
      <c r="AB91" s="1" t="s">
        <v>63</v>
      </c>
      <c r="AC91" s="1" t="s">
        <v>133</v>
      </c>
      <c r="AD91" s="1">
        <v>40</v>
      </c>
      <c r="AE91" s="1">
        <v>8.6920000000000002</v>
      </c>
      <c r="AF91" s="1">
        <v>200</v>
      </c>
      <c r="AG91" s="1" t="s">
        <v>65</v>
      </c>
      <c r="AH91" s="1" t="s">
        <v>134</v>
      </c>
      <c r="AI91" s="1">
        <v>2.8660000000000002E-6</v>
      </c>
      <c r="AJ91" s="1">
        <v>2</v>
      </c>
      <c r="AK91" s="1">
        <v>4.2399999999999999E-7</v>
      </c>
      <c r="AL91" s="1">
        <v>25.6557754257</v>
      </c>
      <c r="AM91" s="1">
        <v>378.72283131299997</v>
      </c>
      <c r="AN91" s="1">
        <v>0.62112184097000001</v>
      </c>
      <c r="AO91" s="1">
        <v>697836.70621099998</v>
      </c>
      <c r="AP91" s="1">
        <v>-1.6889911649900001E-3</v>
      </c>
      <c r="AQ91" s="1">
        <v>-2.2943274878599999E-3</v>
      </c>
      <c r="AR91" s="1">
        <v>0.25</v>
      </c>
      <c r="AS91" s="1">
        <v>3.76378538924E-3</v>
      </c>
      <c r="AT91" s="1">
        <v>0.27458274062499999</v>
      </c>
      <c r="AU91" s="1">
        <v>3.7245646297000001E-3</v>
      </c>
      <c r="AV91" s="1">
        <v>0.27747417753499998</v>
      </c>
      <c r="AW91" s="1">
        <v>4</v>
      </c>
      <c r="AX91" s="1">
        <v>3.5991801559999998E-3</v>
      </c>
      <c r="AY91" s="1">
        <v>0.28463456384800001</v>
      </c>
      <c r="AZ91" s="1">
        <v>5.1432757583499997</v>
      </c>
      <c r="BA91" s="1">
        <v>3.3664195998599999</v>
      </c>
      <c r="BB91" s="1">
        <v>4.5387799493500003</v>
      </c>
      <c r="BC91" s="1">
        <v>2.5805595233299998</v>
      </c>
      <c r="BD91" s="1">
        <v>-0.483277961039</v>
      </c>
      <c r="BE91" s="1">
        <v>1.90683102754</v>
      </c>
      <c r="BF91" s="1">
        <v>-0.60350896277199995</v>
      </c>
      <c r="BG91" s="1">
        <v>2.0807232358399999</v>
      </c>
    </row>
    <row r="92" spans="1:59" x14ac:dyDescent="0.3">
      <c r="A92" s="1" t="s">
        <v>140</v>
      </c>
      <c r="B92" s="1" t="s">
        <v>60</v>
      </c>
      <c r="C92" s="1" t="s">
        <v>61</v>
      </c>
      <c r="D92" s="2">
        <v>42331.875057870369</v>
      </c>
      <c r="E92" s="1">
        <v>274.92500000000001</v>
      </c>
      <c r="F92" s="1">
        <v>0.2</v>
      </c>
      <c r="G92" s="1">
        <v>20</v>
      </c>
      <c r="H92" s="1">
        <v>108.6</v>
      </c>
      <c r="I92" s="1">
        <v>-10.98</v>
      </c>
      <c r="J92" s="1">
        <v>-73.040000000000006</v>
      </c>
      <c r="K92" s="1">
        <v>1.1399999999999999E-5</v>
      </c>
      <c r="L92" s="1">
        <v>-7.86</v>
      </c>
      <c r="M92" s="1">
        <v>20</v>
      </c>
      <c r="N92" s="1">
        <v>0.28252723774499999</v>
      </c>
      <c r="O92" s="1">
        <v>-7.86</v>
      </c>
      <c r="P92" s="1">
        <v>3.6679999999999998E-3</v>
      </c>
      <c r="Q92" s="1" t="s">
        <v>62</v>
      </c>
      <c r="R92" s="1">
        <v>2340</v>
      </c>
      <c r="S92" s="1">
        <v>618.29999999999995</v>
      </c>
      <c r="T92" s="1">
        <v>3754</v>
      </c>
      <c r="U92" s="1">
        <v>6132</v>
      </c>
      <c r="V92" s="1">
        <v>6132</v>
      </c>
      <c r="W92" s="1">
        <v>0.19750000000000001</v>
      </c>
      <c r="X92" s="1">
        <v>5</v>
      </c>
      <c r="Y92" s="1">
        <v>23</v>
      </c>
      <c r="Z92" s="1">
        <v>1</v>
      </c>
      <c r="AA92" s="1">
        <v>7.4999999999999997E-3</v>
      </c>
      <c r="AB92" s="1" t="s">
        <v>63</v>
      </c>
      <c r="AC92" s="1" t="s">
        <v>64</v>
      </c>
      <c r="AD92" s="1">
        <v>40</v>
      </c>
      <c r="AE92" s="1">
        <v>8.6920000000000002</v>
      </c>
      <c r="AF92" s="1">
        <v>200</v>
      </c>
      <c r="AG92" s="1" t="s">
        <v>65</v>
      </c>
      <c r="AH92" s="1" t="s">
        <v>66</v>
      </c>
      <c r="AI92" s="1">
        <v>2.8679999999999999E-6</v>
      </c>
      <c r="AJ92" s="1">
        <v>2</v>
      </c>
      <c r="AK92" s="1">
        <v>4.2399999999999999E-7</v>
      </c>
      <c r="AL92" s="1">
        <v>25.6557754257</v>
      </c>
      <c r="AM92" s="1">
        <v>383.51361521299998</v>
      </c>
      <c r="AN92" s="1">
        <v>0.62027109043100004</v>
      </c>
      <c r="AO92" s="1">
        <v>697350.06973500003</v>
      </c>
      <c r="AP92" s="1">
        <v>-1.69233461461E-3</v>
      </c>
      <c r="AQ92" s="1">
        <v>-2.2976709374799998E-3</v>
      </c>
      <c r="AR92" s="1">
        <v>0.25</v>
      </c>
      <c r="AS92" s="1">
        <v>3.7193625490100002E-3</v>
      </c>
      <c r="AT92" s="1">
        <v>0.277862266365</v>
      </c>
      <c r="AU92" s="1">
        <v>3.6801049763000001E-3</v>
      </c>
      <c r="AV92" s="1">
        <v>0.28082636608400002</v>
      </c>
      <c r="AW92" s="1">
        <v>4</v>
      </c>
      <c r="AX92" s="1">
        <v>3.7311146909599999E-3</v>
      </c>
      <c r="AY92" s="1">
        <v>0.27749577869699998</v>
      </c>
      <c r="AZ92" s="1">
        <v>0.328930190121</v>
      </c>
      <c r="BA92" s="1">
        <v>-1.3860940107299999</v>
      </c>
      <c r="BB92" s="1">
        <v>0.60566665614299997</v>
      </c>
      <c r="BC92" s="1">
        <v>-1.18599525878</v>
      </c>
      <c r="BD92" s="1">
        <v>-2.6901406519000002</v>
      </c>
      <c r="BE92" s="1">
        <v>-0.42584336753800001</v>
      </c>
      <c r="BF92" s="1">
        <v>-2.0923649902100001</v>
      </c>
      <c r="BG92" s="1">
        <v>0.329878729383</v>
      </c>
    </row>
    <row r="93" spans="1:59" x14ac:dyDescent="0.3">
      <c r="A93" s="1" t="s">
        <v>140</v>
      </c>
      <c r="B93" s="1" t="s">
        <v>67</v>
      </c>
      <c r="C93" s="1" t="s">
        <v>68</v>
      </c>
      <c r="D93" s="2">
        <v>42331.809710648151</v>
      </c>
      <c r="E93" s="1">
        <v>288.05</v>
      </c>
      <c r="F93" s="1">
        <v>0.2</v>
      </c>
      <c r="G93" s="1">
        <v>20</v>
      </c>
      <c r="H93" s="1">
        <v>113.8</v>
      </c>
      <c r="I93" s="1">
        <v>-10.981999999999999</v>
      </c>
      <c r="J93" s="1">
        <v>35.46</v>
      </c>
      <c r="K93" s="1">
        <v>1.5400000000000002E-5</v>
      </c>
      <c r="L93" s="1">
        <v>-8.2200000000000006</v>
      </c>
      <c r="M93" s="1">
        <v>20</v>
      </c>
      <c r="N93" s="1">
        <v>0.282461911457</v>
      </c>
      <c r="O93" s="1">
        <v>-8.2200000000000006</v>
      </c>
      <c r="P93" s="1">
        <v>3.6391800000000001E-3</v>
      </c>
      <c r="Q93" s="1" t="s">
        <v>62</v>
      </c>
      <c r="R93" s="1">
        <v>2338</v>
      </c>
      <c r="S93" s="1">
        <v>605.91999999999996</v>
      </c>
      <c r="T93" s="1">
        <v>3729</v>
      </c>
      <c r="U93" s="1">
        <v>5971</v>
      </c>
      <c r="V93" s="1">
        <v>5971</v>
      </c>
      <c r="W93" s="1">
        <v>0.19750000000000001</v>
      </c>
      <c r="X93" s="1">
        <v>5</v>
      </c>
      <c r="Y93" s="1">
        <v>23</v>
      </c>
      <c r="Z93" s="1">
        <v>1</v>
      </c>
      <c r="AA93" s="1">
        <v>2.12E-2</v>
      </c>
      <c r="AB93" s="1" t="s">
        <v>63</v>
      </c>
      <c r="AC93" s="1" t="s">
        <v>69</v>
      </c>
      <c r="AD93" s="1">
        <v>40</v>
      </c>
      <c r="AE93" s="1">
        <v>8.6920000000000002</v>
      </c>
      <c r="AF93" s="1">
        <v>200</v>
      </c>
      <c r="AG93" s="1" t="s">
        <v>65</v>
      </c>
      <c r="AH93" s="1" t="s">
        <v>70</v>
      </c>
      <c r="AI93" s="1">
        <v>2.8700000000000001E-6</v>
      </c>
      <c r="AJ93" s="1">
        <v>2</v>
      </c>
      <c r="AK93" s="1">
        <v>4.2399999999999999E-7</v>
      </c>
      <c r="AL93" s="1">
        <v>25.6557754257</v>
      </c>
      <c r="AM93" s="1">
        <v>372.98436288699997</v>
      </c>
      <c r="AN93" s="1">
        <v>0.61556701030899996</v>
      </c>
      <c r="AO93" s="1">
        <v>696864.11149799998</v>
      </c>
      <c r="AP93" s="1">
        <v>-1.7108216494799999E-3</v>
      </c>
      <c r="AQ93" s="1">
        <v>-2.3161579723500001E-3</v>
      </c>
      <c r="AR93" s="1">
        <v>0.25</v>
      </c>
      <c r="AS93" s="1">
        <v>3.82702611125E-3</v>
      </c>
      <c r="AT93" s="1">
        <v>0.27004532429599998</v>
      </c>
      <c r="AU93" s="1">
        <v>3.78380856865E-3</v>
      </c>
      <c r="AV93" s="1">
        <v>0.27312970213799997</v>
      </c>
      <c r="AW93" s="1">
        <v>4</v>
      </c>
      <c r="AX93" s="1">
        <v>3.7049274066600002E-3</v>
      </c>
      <c r="AY93" s="1">
        <v>0.27720250457599999</v>
      </c>
      <c r="AZ93" s="1">
        <v>3.8223014200400001</v>
      </c>
      <c r="BA93" s="1">
        <v>2.0847027686500001</v>
      </c>
      <c r="BB93" s="1">
        <v>3.4167683873099999</v>
      </c>
      <c r="BC93" s="1">
        <v>1.4911605755399999</v>
      </c>
      <c r="BD93" s="1">
        <v>-1.96045858701</v>
      </c>
      <c r="BE93" s="1">
        <v>0.462010776254</v>
      </c>
      <c r="BF93" s="1">
        <v>-1.81117171292</v>
      </c>
      <c r="BG93" s="1">
        <v>0.90945494249199998</v>
      </c>
    </row>
    <row r="94" spans="1:59" x14ac:dyDescent="0.3">
      <c r="A94" s="1" t="s">
        <v>140</v>
      </c>
      <c r="B94" s="1" t="s">
        <v>71</v>
      </c>
      <c r="C94" s="1" t="s">
        <v>72</v>
      </c>
      <c r="D94" s="2">
        <v>42331.816793981481</v>
      </c>
      <c r="E94" s="1">
        <v>290.38499999999999</v>
      </c>
      <c r="F94" s="1">
        <v>0.2</v>
      </c>
      <c r="G94" s="1">
        <v>20</v>
      </c>
      <c r="H94" s="1">
        <v>114.8</v>
      </c>
      <c r="I94" s="1">
        <v>-10.868</v>
      </c>
      <c r="J94" s="1">
        <v>-36.44</v>
      </c>
      <c r="K94" s="1">
        <v>1.9599999999999999E-5</v>
      </c>
      <c r="L94" s="1">
        <v>-8.2200000000000006</v>
      </c>
      <c r="M94" s="1">
        <v>20</v>
      </c>
      <c r="N94" s="1">
        <v>0.28619601548700002</v>
      </c>
      <c r="O94" s="1">
        <v>-8.2200000000000006</v>
      </c>
      <c r="P94" s="1">
        <v>3.60744E-3</v>
      </c>
      <c r="Q94" s="1" t="s">
        <v>62</v>
      </c>
      <c r="R94" s="1">
        <v>2342</v>
      </c>
      <c r="S94" s="1">
        <v>613.32000000000005</v>
      </c>
      <c r="T94" s="1">
        <v>3831</v>
      </c>
      <c r="U94" s="1">
        <v>6158</v>
      </c>
      <c r="V94" s="1">
        <v>6158</v>
      </c>
      <c r="W94" s="1">
        <v>0.19750000000000001</v>
      </c>
      <c r="X94" s="1">
        <v>5</v>
      </c>
      <c r="Y94" s="1">
        <v>23</v>
      </c>
      <c r="Z94" s="1">
        <v>1</v>
      </c>
      <c r="AA94" s="1">
        <v>2.75E-2</v>
      </c>
      <c r="AB94" s="1" t="s">
        <v>63</v>
      </c>
      <c r="AC94" s="1" t="s">
        <v>73</v>
      </c>
      <c r="AD94" s="1">
        <v>40</v>
      </c>
      <c r="AE94" s="1">
        <v>8.6920000000000002</v>
      </c>
      <c r="AF94" s="1">
        <v>200</v>
      </c>
      <c r="AG94" s="1" t="s">
        <v>65</v>
      </c>
      <c r="AH94" s="1" t="s">
        <v>74</v>
      </c>
      <c r="AI94" s="1">
        <v>2.8700000000000001E-6</v>
      </c>
      <c r="AJ94" s="1">
        <v>2</v>
      </c>
      <c r="AK94" s="1">
        <v>4.2399999999999999E-7</v>
      </c>
      <c r="AL94" s="1">
        <v>25.6557754257</v>
      </c>
      <c r="AM94" s="1">
        <v>378.09836420099998</v>
      </c>
      <c r="AN94" s="1">
        <v>0.61647812593899998</v>
      </c>
      <c r="AO94" s="1">
        <v>696864.11149799998</v>
      </c>
      <c r="AP94" s="1">
        <v>-1.7072409650600001E-3</v>
      </c>
      <c r="AQ94" s="1">
        <v>-2.3125772879299998E-3</v>
      </c>
      <c r="AR94" s="1">
        <v>0.25</v>
      </c>
      <c r="AS94" s="1">
        <v>3.77526334681E-3</v>
      </c>
      <c r="AT94" s="1">
        <v>0.27374792494299999</v>
      </c>
      <c r="AU94" s="1">
        <v>3.7331683091899998E-3</v>
      </c>
      <c r="AV94" s="1">
        <v>0.276834694208</v>
      </c>
      <c r="AW94" s="1">
        <v>4</v>
      </c>
      <c r="AX94" s="1">
        <v>3.6723190624999998E-3</v>
      </c>
      <c r="AY94" s="1">
        <v>0.28086365341199998</v>
      </c>
      <c r="AZ94" s="1">
        <v>3.3678714372899998</v>
      </c>
      <c r="BA94" s="1">
        <v>1.6299625854399999</v>
      </c>
      <c r="BB94" s="1">
        <v>3.3815563852700001</v>
      </c>
      <c r="BC94" s="1">
        <v>1.4553664290599999</v>
      </c>
      <c r="BD94" s="1">
        <v>-2.3154594928700001</v>
      </c>
      <c r="BE94" s="1">
        <v>0.11108986138599999</v>
      </c>
      <c r="BF94" s="1">
        <v>-2.0036093847699998</v>
      </c>
      <c r="BG94" s="1">
        <v>0.72337726843200001</v>
      </c>
    </row>
    <row r="95" spans="1:59" x14ac:dyDescent="0.3">
      <c r="A95" s="1" t="s">
        <v>140</v>
      </c>
      <c r="B95" s="1" t="s">
        <v>75</v>
      </c>
      <c r="C95" s="1" t="s">
        <v>76</v>
      </c>
      <c r="D95" s="2">
        <v>42331.825381944444</v>
      </c>
      <c r="E95" s="1">
        <v>264.29500000000002</v>
      </c>
      <c r="F95" s="1">
        <v>0.2</v>
      </c>
      <c r="G95" s="1">
        <v>20</v>
      </c>
      <c r="H95" s="1">
        <v>104.4</v>
      </c>
      <c r="I95" s="1">
        <v>-11.03</v>
      </c>
      <c r="J95" s="1">
        <v>-36.56</v>
      </c>
      <c r="K95" s="1">
        <v>1.132E-5</v>
      </c>
      <c r="L95" s="1">
        <v>-7.82</v>
      </c>
      <c r="M95" s="1">
        <v>20</v>
      </c>
      <c r="N95" s="1">
        <v>0.28088464955199999</v>
      </c>
      <c r="O95" s="1">
        <v>-7.82</v>
      </c>
      <c r="P95" s="1">
        <v>3.66534E-3</v>
      </c>
      <c r="Q95" s="1" t="s">
        <v>62</v>
      </c>
      <c r="R95" s="1">
        <v>2343</v>
      </c>
      <c r="S95" s="1">
        <v>607.6</v>
      </c>
      <c r="T95" s="1">
        <v>3764</v>
      </c>
      <c r="U95" s="1">
        <v>5910</v>
      </c>
      <c r="V95" s="1">
        <v>5910</v>
      </c>
      <c r="W95" s="1">
        <v>0.19750000000000001</v>
      </c>
      <c r="X95" s="1">
        <v>5</v>
      </c>
      <c r="Y95" s="1">
        <v>23</v>
      </c>
      <c r="Z95" s="1">
        <v>1</v>
      </c>
      <c r="AA95" s="1">
        <v>5.4999999999999997E-3</v>
      </c>
      <c r="AB95" s="1" t="s">
        <v>63</v>
      </c>
      <c r="AC95" s="1" t="s">
        <v>77</v>
      </c>
      <c r="AD95" s="1">
        <v>40</v>
      </c>
      <c r="AE95" s="1">
        <v>8.6920000000000002</v>
      </c>
      <c r="AF95" s="1">
        <v>200</v>
      </c>
      <c r="AG95" s="1" t="s">
        <v>65</v>
      </c>
      <c r="AH95" s="1" t="s">
        <v>78</v>
      </c>
      <c r="AI95" s="1">
        <v>2.8700000000000001E-6</v>
      </c>
      <c r="AJ95" s="1">
        <v>2</v>
      </c>
      <c r="AK95" s="1">
        <v>4.2399999999999999E-7</v>
      </c>
      <c r="AL95" s="1">
        <v>25.6557754257</v>
      </c>
      <c r="AM95" s="1">
        <v>371.19247467399998</v>
      </c>
      <c r="AN95" s="1">
        <v>0.61091585693600003</v>
      </c>
      <c r="AO95" s="1">
        <v>696864.11149799998</v>
      </c>
      <c r="AP95" s="1">
        <v>-1.7291006822400001E-3</v>
      </c>
      <c r="AQ95" s="1">
        <v>-2.3344370051100001E-3</v>
      </c>
      <c r="AR95" s="1">
        <v>0.25</v>
      </c>
      <c r="AS95" s="1">
        <v>3.8455006317299999E-3</v>
      </c>
      <c r="AT95" s="1">
        <v>0.26874797491199998</v>
      </c>
      <c r="AU95" s="1">
        <v>3.7992894359599998E-3</v>
      </c>
      <c r="AV95" s="1">
        <v>0.27201678754000003</v>
      </c>
      <c r="AW95" s="1">
        <v>4</v>
      </c>
      <c r="AX95" s="1">
        <v>3.72879329862E-3</v>
      </c>
      <c r="AY95" s="1">
        <v>0.27593509824099999</v>
      </c>
      <c r="AZ95" s="1">
        <v>3.5256444188999998</v>
      </c>
      <c r="BA95" s="1">
        <v>1.8555084713800001</v>
      </c>
      <c r="BB95" s="1">
        <v>3.2600421807300002</v>
      </c>
      <c r="BC95" s="1">
        <v>1.44046650101</v>
      </c>
      <c r="BD95" s="1">
        <v>-0.40375970977199999</v>
      </c>
      <c r="BE95" s="1">
        <v>2.1680054328199998</v>
      </c>
      <c r="BF95" s="1">
        <v>-1.0687771583500001</v>
      </c>
      <c r="BG95" s="1">
        <v>1.71818185104</v>
      </c>
    </row>
    <row r="96" spans="1:59" x14ac:dyDescent="0.3">
      <c r="A96" s="1" t="s">
        <v>140</v>
      </c>
      <c r="B96" s="1" t="s">
        <v>79</v>
      </c>
      <c r="C96" s="1" t="s">
        <v>80</v>
      </c>
      <c r="D96" s="2">
        <v>42331.979074074072</v>
      </c>
      <c r="E96" s="1">
        <v>289.185</v>
      </c>
      <c r="F96" s="1">
        <v>0.2</v>
      </c>
      <c r="G96" s="1">
        <v>20</v>
      </c>
      <c r="H96" s="1">
        <v>114.4</v>
      </c>
      <c r="I96" s="1">
        <v>-10.747999999999999</v>
      </c>
      <c r="J96" s="1">
        <v>-36.42</v>
      </c>
      <c r="K96" s="1">
        <v>1.2999999999999999E-5</v>
      </c>
      <c r="L96" s="1">
        <v>-7.68</v>
      </c>
      <c r="M96" s="1">
        <v>20</v>
      </c>
      <c r="N96" s="1">
        <v>0.29014626842899999</v>
      </c>
      <c r="O96" s="1">
        <v>-7.68</v>
      </c>
      <c r="P96" s="1">
        <v>3.5574199999999999E-3</v>
      </c>
      <c r="Q96" s="1" t="s">
        <v>62</v>
      </c>
      <c r="R96" s="1">
        <v>831</v>
      </c>
      <c r="S96" s="1">
        <v>619.12</v>
      </c>
      <c r="T96" s="1">
        <v>3646</v>
      </c>
      <c r="U96" s="1">
        <v>6239</v>
      </c>
      <c r="V96" s="1">
        <v>6239</v>
      </c>
      <c r="W96" s="1">
        <v>0.19750000000000001</v>
      </c>
      <c r="X96" s="1">
        <v>5</v>
      </c>
      <c r="Y96" s="1">
        <v>23</v>
      </c>
      <c r="Z96" s="1">
        <v>1</v>
      </c>
      <c r="AA96" s="1">
        <v>1.95E-2</v>
      </c>
      <c r="AB96" s="1" t="s">
        <v>63</v>
      </c>
      <c r="AC96" s="1" t="s">
        <v>81</v>
      </c>
      <c r="AD96" s="1">
        <v>40</v>
      </c>
      <c r="AE96" s="1">
        <v>8.6920000000000002</v>
      </c>
      <c r="AF96" s="1">
        <v>200</v>
      </c>
      <c r="AG96" s="1" t="s">
        <v>65</v>
      </c>
      <c r="AH96" s="1" t="s">
        <v>82</v>
      </c>
      <c r="AI96" s="1">
        <v>2.869E-6</v>
      </c>
      <c r="AJ96" s="1">
        <v>2</v>
      </c>
      <c r="AK96" s="1">
        <v>4.2399999999999999E-7</v>
      </c>
      <c r="AL96" s="1">
        <v>25.6557754257</v>
      </c>
      <c r="AM96" s="1">
        <v>390.76273950400002</v>
      </c>
      <c r="AN96" s="1">
        <v>0.63115832068800004</v>
      </c>
      <c r="AO96" s="1">
        <v>697107.00592499995</v>
      </c>
      <c r="AP96" s="1">
        <v>-1.6495477996999999E-3</v>
      </c>
      <c r="AQ96" s="1">
        <v>-2.2548841225700001E-3</v>
      </c>
      <c r="AR96" s="1">
        <v>0.25</v>
      </c>
      <c r="AS96" s="1">
        <v>3.6516366388200001E-3</v>
      </c>
      <c r="AT96" s="1">
        <v>0.283015702142</v>
      </c>
      <c r="AU96" s="1">
        <v>3.6194000887599998E-3</v>
      </c>
      <c r="AV96" s="1">
        <v>0.28553640989000001</v>
      </c>
      <c r="AW96" s="1">
        <v>4</v>
      </c>
      <c r="AX96" s="1">
        <v>3.6179126569599999E-3</v>
      </c>
      <c r="AY96" s="1">
        <v>0.285138554667</v>
      </c>
      <c r="AZ96" s="1">
        <v>1.7124409361799999</v>
      </c>
      <c r="BA96" s="1">
        <v>4.1096086854199999E-2</v>
      </c>
      <c r="BB96" s="1">
        <v>1.61445559288</v>
      </c>
      <c r="BC96" s="1">
        <v>-0.139336074019</v>
      </c>
      <c r="BD96" s="1">
        <v>-0.64706855903299998</v>
      </c>
      <c r="BE96" s="1">
        <v>1.7968403449499999</v>
      </c>
      <c r="BF96" s="1">
        <v>-0.67679900858599995</v>
      </c>
      <c r="BG96" s="1">
        <v>1.8806788322000001</v>
      </c>
    </row>
    <row r="97" spans="1:59" x14ac:dyDescent="0.3">
      <c r="A97" s="1" t="s">
        <v>140</v>
      </c>
      <c r="B97" s="1" t="s">
        <v>83</v>
      </c>
      <c r="C97" s="1" t="s">
        <v>84</v>
      </c>
      <c r="D97" s="2">
        <v>42331.842233796298</v>
      </c>
      <c r="E97" s="1">
        <v>290.19499999999999</v>
      </c>
      <c r="F97" s="1">
        <v>0.2</v>
      </c>
      <c r="G97" s="1">
        <v>20</v>
      </c>
      <c r="H97" s="1">
        <v>114.6</v>
      </c>
      <c r="I97" s="1">
        <v>-10.702</v>
      </c>
      <c r="J97" s="1">
        <v>-0.3</v>
      </c>
      <c r="K97" s="1">
        <v>1.4800000000000001E-5</v>
      </c>
      <c r="L97" s="1">
        <v>-7.68</v>
      </c>
      <c r="M97" s="1">
        <v>20</v>
      </c>
      <c r="N97" s="1">
        <v>0.29170790963400001</v>
      </c>
      <c r="O97" s="1">
        <v>-7.68</v>
      </c>
      <c r="P97" s="1">
        <v>3.54054E-3</v>
      </c>
      <c r="Q97" s="1" t="s">
        <v>62</v>
      </c>
      <c r="R97" s="1">
        <v>2345</v>
      </c>
      <c r="S97" s="1">
        <v>620.79</v>
      </c>
      <c r="T97" s="1">
        <v>3746</v>
      </c>
      <c r="U97" s="1">
        <v>6277</v>
      </c>
      <c r="V97" s="1">
        <v>6277</v>
      </c>
      <c r="W97" s="1">
        <v>0.19750000000000001</v>
      </c>
      <c r="X97" s="1">
        <v>5</v>
      </c>
      <c r="Y97" s="1">
        <v>23</v>
      </c>
      <c r="Z97" s="1">
        <v>1</v>
      </c>
      <c r="AA97" s="1">
        <v>2.2599999999999999E-2</v>
      </c>
      <c r="AB97" s="1" t="s">
        <v>63</v>
      </c>
      <c r="AC97" s="1" t="s">
        <v>85</v>
      </c>
      <c r="AD97" s="1">
        <v>40</v>
      </c>
      <c r="AE97" s="1">
        <v>8.6920000000000002</v>
      </c>
      <c r="AF97" s="1">
        <v>200</v>
      </c>
      <c r="AG97" s="1" t="s">
        <v>65</v>
      </c>
      <c r="AH97" s="1" t="s">
        <v>86</v>
      </c>
      <c r="AI97" s="1">
        <v>2.869E-6</v>
      </c>
      <c r="AJ97" s="1">
        <v>2</v>
      </c>
      <c r="AK97" s="1">
        <v>4.2399999999999999E-7</v>
      </c>
      <c r="AL97" s="1">
        <v>25.6557754257</v>
      </c>
      <c r="AM97" s="1">
        <v>388.77569889300003</v>
      </c>
      <c r="AN97" s="1">
        <v>0.62625960291299998</v>
      </c>
      <c r="AO97" s="1">
        <v>697107.00592499995</v>
      </c>
      <c r="AP97" s="1">
        <v>-1.66879976055E-3</v>
      </c>
      <c r="AQ97" s="1">
        <v>-2.27413608342E-3</v>
      </c>
      <c r="AR97" s="1">
        <v>0.25</v>
      </c>
      <c r="AS97" s="1">
        <v>3.6703002289599999E-3</v>
      </c>
      <c r="AT97" s="1">
        <v>0.281576558546</v>
      </c>
      <c r="AU97" s="1">
        <v>3.6350333369199999E-3</v>
      </c>
      <c r="AV97" s="1">
        <v>0.28430839871699998</v>
      </c>
      <c r="AW97" s="1">
        <v>4</v>
      </c>
      <c r="AX97" s="1">
        <v>3.6001436808399999E-3</v>
      </c>
      <c r="AY97" s="1">
        <v>0.28664092636600003</v>
      </c>
      <c r="AZ97" s="1">
        <v>2.5995177529600002</v>
      </c>
      <c r="BA97" s="1">
        <v>0.95981667417000005</v>
      </c>
      <c r="BB97" s="1">
        <v>2.6026353601099999</v>
      </c>
      <c r="BC97" s="1">
        <v>0.82042164746799995</v>
      </c>
      <c r="BD97" s="1">
        <v>-2.18815049623</v>
      </c>
      <c r="BE97" s="1">
        <v>0.227527271236</v>
      </c>
      <c r="BF97" s="1">
        <v>-1.79972337636</v>
      </c>
      <c r="BG97" s="1">
        <v>0.86487257666100004</v>
      </c>
    </row>
    <row r="98" spans="1:59" x14ac:dyDescent="0.3">
      <c r="A98" s="1" t="s">
        <v>140</v>
      </c>
      <c r="B98" s="1" t="s">
        <v>87</v>
      </c>
      <c r="C98" s="1" t="s">
        <v>88</v>
      </c>
      <c r="D98" s="2">
        <v>42331.850787037038</v>
      </c>
      <c r="E98" s="1">
        <v>289.29500000000002</v>
      </c>
      <c r="F98" s="1">
        <v>0.2</v>
      </c>
      <c r="G98" s="1">
        <v>20</v>
      </c>
      <c r="H98" s="1">
        <v>114.2</v>
      </c>
      <c r="I98" s="1">
        <v>-10.206</v>
      </c>
      <c r="J98" s="1">
        <v>35.64</v>
      </c>
      <c r="K98" s="1">
        <v>1.5999999999999999E-5</v>
      </c>
      <c r="L98" s="1">
        <v>-7.28</v>
      </c>
      <c r="M98" s="1">
        <v>20</v>
      </c>
      <c r="N98" s="1">
        <v>0.30885176463399999</v>
      </c>
      <c r="O98" s="1">
        <v>-7.28</v>
      </c>
      <c r="P98" s="1">
        <v>3.3445200000000001E-3</v>
      </c>
      <c r="Q98" s="1" t="s">
        <v>62</v>
      </c>
      <c r="R98" s="1">
        <v>2347</v>
      </c>
      <c r="S98" s="1">
        <v>639.15</v>
      </c>
      <c r="T98" s="1">
        <v>3957</v>
      </c>
      <c r="U98" s="1">
        <v>6665</v>
      </c>
      <c r="V98" s="1">
        <v>6665</v>
      </c>
      <c r="W98" s="1">
        <v>0.19750000000000001</v>
      </c>
      <c r="X98" s="1">
        <v>5</v>
      </c>
      <c r="Y98" s="1">
        <v>23</v>
      </c>
      <c r="Z98" s="1">
        <v>1</v>
      </c>
      <c r="AA98" s="1">
        <v>2.4199999999999999E-2</v>
      </c>
      <c r="AB98" s="1" t="s">
        <v>63</v>
      </c>
      <c r="AC98" s="1" t="s">
        <v>89</v>
      </c>
      <c r="AD98" s="1">
        <v>40</v>
      </c>
      <c r="AE98" s="1">
        <v>8.6920000000000002</v>
      </c>
      <c r="AF98" s="1">
        <v>200</v>
      </c>
      <c r="AG98" s="1" t="s">
        <v>65</v>
      </c>
      <c r="AH98" s="1" t="s">
        <v>90</v>
      </c>
      <c r="AI98" s="1">
        <v>2.869E-6</v>
      </c>
      <c r="AJ98" s="1">
        <v>2</v>
      </c>
      <c r="AK98" s="1">
        <v>4.2399999999999999E-7</v>
      </c>
      <c r="AL98" s="1">
        <v>25.6557754257</v>
      </c>
      <c r="AM98" s="1">
        <v>401.04827245299998</v>
      </c>
      <c r="AN98" s="1">
        <v>0.62747128601000002</v>
      </c>
      <c r="AO98" s="1">
        <v>697107.00592499995</v>
      </c>
      <c r="AP98" s="1">
        <v>-1.66403784598E-3</v>
      </c>
      <c r="AQ98" s="1">
        <v>-2.2693741688500002E-3</v>
      </c>
      <c r="AR98" s="1">
        <v>0.25</v>
      </c>
      <c r="AS98" s="1">
        <v>3.5579844988000001E-3</v>
      </c>
      <c r="AT98" s="1">
        <v>0.29046515173199999</v>
      </c>
      <c r="AU98" s="1">
        <v>3.5244849460000002E-3</v>
      </c>
      <c r="AV98" s="1">
        <v>0.29322596723599997</v>
      </c>
      <c r="AW98" s="1">
        <v>4</v>
      </c>
      <c r="AX98" s="1">
        <v>3.3979783717200001E-3</v>
      </c>
      <c r="AY98" s="1">
        <v>0.30376421352400002</v>
      </c>
      <c r="AZ98" s="1">
        <v>5.1061346199599997</v>
      </c>
      <c r="BA98" s="1">
        <v>3.5893634451900001</v>
      </c>
      <c r="BB98" s="1">
        <v>5.3289268835500003</v>
      </c>
      <c r="BC98" s="1">
        <v>3.59389940345</v>
      </c>
      <c r="BD98" s="1">
        <v>-2.14272443086</v>
      </c>
      <c r="BE98" s="1">
        <v>0.291053740821</v>
      </c>
      <c r="BF98" s="1">
        <v>-2.0199666598100001</v>
      </c>
      <c r="BG98" s="1">
        <v>0.81731728278100002</v>
      </c>
    </row>
    <row r="99" spans="1:59" x14ac:dyDescent="0.3">
      <c r="A99" s="1" t="s">
        <v>140</v>
      </c>
      <c r="B99" s="1" t="s">
        <v>91</v>
      </c>
      <c r="C99" s="1" t="s">
        <v>141</v>
      </c>
      <c r="D99" s="2">
        <v>42331.858495370368</v>
      </c>
      <c r="E99" s="1">
        <v>288.73500000000001</v>
      </c>
      <c r="F99" s="1">
        <v>0.2</v>
      </c>
      <c r="G99" s="1">
        <v>20</v>
      </c>
      <c r="H99" s="1">
        <v>114.2</v>
      </c>
      <c r="I99" s="1">
        <v>-10.776</v>
      </c>
      <c r="J99" s="1">
        <v>-72.239999999999995</v>
      </c>
      <c r="K99" s="1">
        <v>1.4800000000000001E-5</v>
      </c>
      <c r="L99" s="1">
        <v>-7.28</v>
      </c>
      <c r="M99" s="1">
        <v>20</v>
      </c>
      <c r="N99" s="1">
        <v>0.28924272662599998</v>
      </c>
      <c r="O99" s="1">
        <v>-7.28</v>
      </c>
      <c r="P99" s="1">
        <v>3.5592800000000002E-3</v>
      </c>
      <c r="Q99" s="1" t="s">
        <v>62</v>
      </c>
      <c r="R99" s="1">
        <v>2493</v>
      </c>
      <c r="S99" s="1">
        <v>621.46</v>
      </c>
      <c r="T99" s="1">
        <v>3761</v>
      </c>
      <c r="U99" s="1">
        <v>6296</v>
      </c>
      <c r="V99" s="1">
        <v>6296</v>
      </c>
      <c r="W99" s="1">
        <v>0.19750000000000001</v>
      </c>
      <c r="X99" s="1">
        <v>5</v>
      </c>
      <c r="Y99" s="1">
        <v>23</v>
      </c>
      <c r="Z99" s="1">
        <v>1</v>
      </c>
      <c r="AA99" s="1">
        <v>2.3400000000000001E-2</v>
      </c>
      <c r="AB99" s="1" t="s">
        <v>63</v>
      </c>
      <c r="AC99" s="1" t="s">
        <v>93</v>
      </c>
      <c r="AD99" s="1">
        <v>40</v>
      </c>
      <c r="AE99" s="1">
        <v>8.6920000000000002</v>
      </c>
      <c r="AF99" s="1">
        <v>200</v>
      </c>
      <c r="AG99" s="1" t="s">
        <v>65</v>
      </c>
      <c r="AH99" s="1" t="s">
        <v>94</v>
      </c>
      <c r="AI99" s="1">
        <v>2.8729999999999999E-6</v>
      </c>
      <c r="AJ99" s="1">
        <v>2</v>
      </c>
      <c r="AK99" s="1">
        <v>4.2399999999999999E-7</v>
      </c>
      <c r="AL99" s="1">
        <v>25.6557754257</v>
      </c>
      <c r="AM99" s="1">
        <v>389.05361042099997</v>
      </c>
      <c r="AN99" s="1">
        <v>0.62603161976699995</v>
      </c>
      <c r="AO99" s="1">
        <v>696136.44274299999</v>
      </c>
      <c r="AP99" s="1">
        <v>-1.6696957343100001E-3</v>
      </c>
      <c r="AQ99" s="1">
        <v>-2.2750320571800001E-3</v>
      </c>
      <c r="AR99" s="1">
        <v>0.25</v>
      </c>
      <c r="AS99" s="1">
        <v>3.67279196279E-3</v>
      </c>
      <c r="AT99" s="1">
        <v>0.28138552844100001</v>
      </c>
      <c r="AU99" s="1">
        <v>3.63737257517E-3</v>
      </c>
      <c r="AV99" s="1">
        <v>0.28412555654999999</v>
      </c>
      <c r="AW99" s="1">
        <v>4</v>
      </c>
      <c r="AX99" s="1">
        <v>3.6160496318200001E-3</v>
      </c>
      <c r="AY99" s="1">
        <v>0.28447043250600001</v>
      </c>
      <c r="AZ99" s="1">
        <v>2.1469501283899999</v>
      </c>
      <c r="BA99" s="1">
        <v>0.58621829114599999</v>
      </c>
      <c r="BB99" s="1">
        <v>1.80102421542</v>
      </c>
      <c r="BC99" s="1">
        <v>0.12138153283600001</v>
      </c>
      <c r="BD99" s="1">
        <v>-2.1521028814699998</v>
      </c>
      <c r="BE99" s="1">
        <v>0.36335571643699999</v>
      </c>
      <c r="BF99" s="1">
        <v>-2.0688726885199999</v>
      </c>
      <c r="BG99" s="1">
        <v>0.67561514772200004</v>
      </c>
    </row>
    <row r="100" spans="1:59" x14ac:dyDescent="0.3">
      <c r="A100" s="1" t="s">
        <v>140</v>
      </c>
      <c r="B100" s="1" t="s">
        <v>95</v>
      </c>
      <c r="C100" s="1" t="s">
        <v>96</v>
      </c>
      <c r="D100" s="2">
        <v>42331.866261574076</v>
      </c>
      <c r="E100" s="1">
        <v>288.755</v>
      </c>
      <c r="F100" s="1">
        <v>0.2</v>
      </c>
      <c r="G100" s="1">
        <v>20</v>
      </c>
      <c r="H100" s="1">
        <v>113.8</v>
      </c>
      <c r="I100" s="1">
        <v>-11.066000000000001</v>
      </c>
      <c r="J100" s="1">
        <v>71.44</v>
      </c>
      <c r="K100" s="1">
        <v>1.42E-5</v>
      </c>
      <c r="L100" s="1">
        <v>-7.28</v>
      </c>
      <c r="M100" s="1">
        <v>20</v>
      </c>
      <c r="N100" s="1">
        <v>0.27973102408700001</v>
      </c>
      <c r="O100" s="1">
        <v>-7.28</v>
      </c>
      <c r="P100" s="1">
        <v>3.6801199999999998E-3</v>
      </c>
      <c r="Q100" s="1" t="s">
        <v>62</v>
      </c>
      <c r="R100" s="1">
        <v>2348</v>
      </c>
      <c r="S100" s="1">
        <v>601.74</v>
      </c>
      <c r="T100" s="1">
        <v>3754</v>
      </c>
      <c r="U100" s="1">
        <v>5886</v>
      </c>
      <c r="V100" s="1">
        <v>5886</v>
      </c>
      <c r="W100" s="1">
        <v>0.19750000000000001</v>
      </c>
      <c r="X100" s="1">
        <v>5</v>
      </c>
      <c r="Y100" s="1">
        <v>23</v>
      </c>
      <c r="Z100" s="1">
        <v>1</v>
      </c>
      <c r="AA100" s="1">
        <v>2.07E-2</v>
      </c>
      <c r="AB100" s="1" t="s">
        <v>63</v>
      </c>
      <c r="AC100" s="1" t="s">
        <v>97</v>
      </c>
      <c r="AD100" s="1">
        <v>40</v>
      </c>
      <c r="AE100" s="1">
        <v>8.6920000000000002</v>
      </c>
      <c r="AF100" s="1">
        <v>200</v>
      </c>
      <c r="AG100" s="1" t="s">
        <v>65</v>
      </c>
      <c r="AH100" s="1" t="s">
        <v>98</v>
      </c>
      <c r="AI100" s="1">
        <v>2.8650000000000001E-6</v>
      </c>
      <c r="AJ100" s="1">
        <v>2</v>
      </c>
      <c r="AK100" s="1">
        <v>4.2399999999999999E-7</v>
      </c>
      <c r="AL100" s="1">
        <v>25.6557754257</v>
      </c>
      <c r="AM100" s="1">
        <v>367.41095850599999</v>
      </c>
      <c r="AN100" s="1">
        <v>0.61058091286299998</v>
      </c>
      <c r="AO100" s="1">
        <v>698080.279232</v>
      </c>
      <c r="AP100" s="1">
        <v>-1.73041701245E-3</v>
      </c>
      <c r="AQ100" s="1">
        <v>-2.3357533353199999E-3</v>
      </c>
      <c r="AR100" s="1">
        <v>0.25</v>
      </c>
      <c r="AS100" s="1">
        <v>3.8783113755300001E-3</v>
      </c>
      <c r="AT100" s="1">
        <v>0.26647435113700002</v>
      </c>
      <c r="AU100" s="1">
        <v>3.8315059108600001E-3</v>
      </c>
      <c r="AV100" s="1">
        <v>0.26972958709799999</v>
      </c>
      <c r="AW100" s="1">
        <v>4</v>
      </c>
      <c r="AX100" s="1">
        <v>3.7389613999399998E-3</v>
      </c>
      <c r="AY100" s="1">
        <v>0.275130866443</v>
      </c>
      <c r="AZ100" s="1">
        <v>3.9510812298100002</v>
      </c>
      <c r="BA100" s="1">
        <v>2.4153560786799999</v>
      </c>
      <c r="BB100" s="1">
        <v>3.7079495416600001</v>
      </c>
      <c r="BC100" s="1">
        <v>2.0024793731099999</v>
      </c>
      <c r="BD100" s="1">
        <v>-1.8039904311299999</v>
      </c>
      <c r="BE100" s="1">
        <v>0.674458650494</v>
      </c>
      <c r="BF100" s="1">
        <v>-1.6267382672499999</v>
      </c>
      <c r="BG100" s="1">
        <v>1.15431192205</v>
      </c>
    </row>
    <row r="101" spans="1:59" x14ac:dyDescent="0.3">
      <c r="A101" s="1" t="s">
        <v>140</v>
      </c>
      <c r="B101" s="1" t="s">
        <v>99</v>
      </c>
      <c r="C101" s="1" t="s">
        <v>100</v>
      </c>
      <c r="D101" s="2">
        <v>42331.686331018522</v>
      </c>
      <c r="E101" s="1">
        <v>288.85500000000002</v>
      </c>
      <c r="F101" s="1">
        <v>0.2</v>
      </c>
      <c r="G101" s="1">
        <v>20</v>
      </c>
      <c r="H101" s="1">
        <v>114.2</v>
      </c>
      <c r="I101" s="1">
        <v>-10.507999999999999</v>
      </c>
      <c r="J101" s="1">
        <v>-36.6</v>
      </c>
      <c r="K101" s="1">
        <v>1.17E-5</v>
      </c>
      <c r="L101" s="1">
        <v>-7.86</v>
      </c>
      <c r="M101" s="1">
        <v>20</v>
      </c>
      <c r="N101" s="1">
        <v>0.29829250010500002</v>
      </c>
      <c r="O101" s="1">
        <v>-7.86</v>
      </c>
      <c r="P101" s="1">
        <v>3.44452E-3</v>
      </c>
      <c r="Q101" s="1" t="s">
        <v>62</v>
      </c>
      <c r="R101" s="1">
        <v>1192</v>
      </c>
      <c r="S101" s="1">
        <v>619.20000000000005</v>
      </c>
      <c r="T101" s="1">
        <v>3774</v>
      </c>
      <c r="U101" s="1">
        <v>6249</v>
      </c>
      <c r="V101" s="1">
        <v>6249</v>
      </c>
      <c r="W101" s="1">
        <v>0.19750000000000001</v>
      </c>
      <c r="X101" s="1">
        <v>5</v>
      </c>
      <c r="Y101" s="1">
        <v>23</v>
      </c>
      <c r="Z101" s="1">
        <v>1</v>
      </c>
      <c r="AA101" s="1">
        <v>2.3300000000000001E-2</v>
      </c>
      <c r="AB101" s="1" t="s">
        <v>63</v>
      </c>
      <c r="AC101" s="1" t="s">
        <v>101</v>
      </c>
      <c r="AD101" s="1">
        <v>40</v>
      </c>
      <c r="AE101" s="1">
        <v>8.6920000000000002</v>
      </c>
      <c r="AF101" s="1">
        <v>200</v>
      </c>
      <c r="AG101" s="1" t="s">
        <v>65</v>
      </c>
      <c r="AH101" s="1" t="s">
        <v>102</v>
      </c>
      <c r="AI101" s="1">
        <v>2.8669999999999998E-6</v>
      </c>
      <c r="AJ101" s="1">
        <v>2</v>
      </c>
      <c r="AK101" s="1">
        <v>4.2399999999999999E-7</v>
      </c>
      <c r="AL101" s="1">
        <v>25.6557754257</v>
      </c>
      <c r="AM101" s="1">
        <v>386.05016462100002</v>
      </c>
      <c r="AN101" s="1">
        <v>0.62346602813499996</v>
      </c>
      <c r="AO101" s="1">
        <v>697593.30310400005</v>
      </c>
      <c r="AP101" s="1">
        <v>-1.67977850943E-3</v>
      </c>
      <c r="AQ101" s="1">
        <v>-2.2851148323000002E-3</v>
      </c>
      <c r="AR101" s="1">
        <v>0.25</v>
      </c>
      <c r="AS101" s="1">
        <v>3.6936360839600001E-3</v>
      </c>
      <c r="AT101" s="1">
        <v>0.27979759884599997</v>
      </c>
      <c r="AU101" s="1">
        <v>3.6565157529700001E-3</v>
      </c>
      <c r="AV101" s="1">
        <v>0.282638056862</v>
      </c>
      <c r="AW101" s="1">
        <v>4</v>
      </c>
      <c r="AX101" s="1">
        <v>3.5043695472600001E-3</v>
      </c>
      <c r="AY101" s="1">
        <v>0.29299290283399998</v>
      </c>
      <c r="AZ101" s="1">
        <v>5.7977530328900002</v>
      </c>
      <c r="BA101" s="1">
        <v>4.1609613081100001</v>
      </c>
      <c r="BB101" s="1">
        <v>5.5386890983299999</v>
      </c>
      <c r="BC101" s="1">
        <v>3.6636417923</v>
      </c>
      <c r="BD101" s="1">
        <v>-0.72528061662200005</v>
      </c>
      <c r="BE101" s="1">
        <v>2.61996953417</v>
      </c>
      <c r="BF101" s="1">
        <v>-1.6797206033800001</v>
      </c>
      <c r="BG101" s="1">
        <v>2.1596516724599999</v>
      </c>
    </row>
    <row r="102" spans="1:59" x14ac:dyDescent="0.3">
      <c r="A102" s="1" t="s">
        <v>140</v>
      </c>
      <c r="B102" s="1" t="s">
        <v>103</v>
      </c>
      <c r="C102" s="1" t="s">
        <v>104</v>
      </c>
      <c r="D102" s="2">
        <v>42331.711863425924</v>
      </c>
      <c r="E102" s="1">
        <v>290.01499999999999</v>
      </c>
      <c r="F102" s="1">
        <v>0.2</v>
      </c>
      <c r="G102" s="1">
        <v>20</v>
      </c>
      <c r="H102" s="1">
        <v>114.6</v>
      </c>
      <c r="I102" s="1">
        <v>-10.462</v>
      </c>
      <c r="J102" s="1">
        <v>-72.260000000000005</v>
      </c>
      <c r="K102" s="1">
        <v>1.278E-5</v>
      </c>
      <c r="L102" s="1">
        <v>-7.58</v>
      </c>
      <c r="M102" s="1">
        <v>20</v>
      </c>
      <c r="N102" s="1">
        <v>0.29987260597400001</v>
      </c>
      <c r="O102" s="1">
        <v>-7.58</v>
      </c>
      <c r="P102" s="1">
        <v>3.43728E-3</v>
      </c>
      <c r="Q102" s="1" t="s">
        <v>62</v>
      </c>
      <c r="R102" s="1">
        <v>832</v>
      </c>
      <c r="S102" s="1">
        <v>628.26</v>
      </c>
      <c r="T102" s="1">
        <v>3591</v>
      </c>
      <c r="U102" s="1">
        <v>6355</v>
      </c>
      <c r="V102" s="1">
        <v>6355</v>
      </c>
      <c r="W102" s="1">
        <v>0.19750000000000001</v>
      </c>
      <c r="X102" s="1">
        <v>5</v>
      </c>
      <c r="Y102" s="1">
        <v>23</v>
      </c>
      <c r="Z102" s="1">
        <v>1</v>
      </c>
      <c r="AA102" s="1">
        <v>1.12E-2</v>
      </c>
      <c r="AB102" s="1" t="s">
        <v>63</v>
      </c>
      <c r="AC102" s="1" t="s">
        <v>105</v>
      </c>
      <c r="AD102" s="1">
        <v>40</v>
      </c>
      <c r="AE102" s="1">
        <v>8.6920000000000002</v>
      </c>
      <c r="AF102" s="1">
        <v>200</v>
      </c>
      <c r="AG102" s="1" t="s">
        <v>65</v>
      </c>
      <c r="AH102" s="1" t="s">
        <v>106</v>
      </c>
      <c r="AI102" s="1">
        <v>2.8669999999999998E-6</v>
      </c>
      <c r="AJ102" s="1">
        <v>2</v>
      </c>
      <c r="AK102" s="1">
        <v>4.2399999999999999E-7</v>
      </c>
      <c r="AL102" s="1">
        <v>25.6557754257</v>
      </c>
      <c r="AM102" s="1">
        <v>401.42693545100002</v>
      </c>
      <c r="AN102" s="1">
        <v>0.638950331792</v>
      </c>
      <c r="AO102" s="1">
        <v>697593.30310400005</v>
      </c>
      <c r="AP102" s="1">
        <v>-1.6189251960600001E-3</v>
      </c>
      <c r="AQ102" s="1">
        <v>-2.22426151893E-3</v>
      </c>
      <c r="AR102" s="1">
        <v>0.25</v>
      </c>
      <c r="AS102" s="1">
        <v>3.5521503226000001E-3</v>
      </c>
      <c r="AT102" s="1">
        <v>0.29094222187800001</v>
      </c>
      <c r="AU102" s="1">
        <v>3.52524020478E-3</v>
      </c>
      <c r="AV102" s="1">
        <v>0.29316314556400003</v>
      </c>
      <c r="AW102" s="1">
        <v>4</v>
      </c>
      <c r="AX102" s="1">
        <v>3.49451409176E-3</v>
      </c>
      <c r="AY102" s="1">
        <v>0.29473691465500002</v>
      </c>
      <c r="AZ102" s="1">
        <v>2.4951549305</v>
      </c>
      <c r="BA102" s="1">
        <v>0.87160338690799999</v>
      </c>
      <c r="BB102" s="1">
        <v>2.2886438871900001</v>
      </c>
      <c r="BC102" s="1">
        <v>0.53682364748800004</v>
      </c>
      <c r="BD102" s="1">
        <v>-1.76668812286</v>
      </c>
      <c r="BE102" s="1">
        <v>1.4561215763499999</v>
      </c>
      <c r="BF102" s="1">
        <v>-1.6771865982700001</v>
      </c>
      <c r="BG102" s="1">
        <v>1.83384746703</v>
      </c>
    </row>
    <row r="103" spans="1:59" x14ac:dyDescent="0.3">
      <c r="A103" s="1" t="s">
        <v>140</v>
      </c>
      <c r="B103" s="1" t="s">
        <v>107</v>
      </c>
      <c r="C103" s="1" t="s">
        <v>108</v>
      </c>
      <c r="D103" s="2">
        <v>42331.728344907409</v>
      </c>
      <c r="E103" s="1">
        <v>263.26</v>
      </c>
      <c r="F103" s="1">
        <v>0.2</v>
      </c>
      <c r="G103" s="1">
        <v>20</v>
      </c>
      <c r="H103" s="1">
        <v>103.8</v>
      </c>
      <c r="I103" s="1">
        <v>-11.75</v>
      </c>
      <c r="J103" s="1">
        <v>-72.8</v>
      </c>
      <c r="K103" s="1">
        <v>9.4199999999999996E-6</v>
      </c>
      <c r="L103" s="1">
        <v>-7.58</v>
      </c>
      <c r="M103" s="1">
        <v>20</v>
      </c>
      <c r="N103" s="1">
        <v>0.25854386124599998</v>
      </c>
      <c r="O103" s="1">
        <v>-7.58</v>
      </c>
      <c r="P103" s="1">
        <v>3.9632799999999996E-3</v>
      </c>
      <c r="Q103" s="1" t="s">
        <v>62</v>
      </c>
      <c r="R103" s="1">
        <v>822</v>
      </c>
      <c r="S103" s="1">
        <v>619.91999999999996</v>
      </c>
      <c r="T103" s="1">
        <v>3790</v>
      </c>
      <c r="U103" s="1">
        <v>6255</v>
      </c>
      <c r="V103" s="1">
        <v>6255</v>
      </c>
      <c r="W103" s="1">
        <v>0.19750000000000001</v>
      </c>
      <c r="X103" s="1">
        <v>5</v>
      </c>
      <c r="Y103" s="1">
        <v>23</v>
      </c>
      <c r="Z103" s="1">
        <v>1</v>
      </c>
      <c r="AA103" s="1">
        <v>2.1899999999999999E-2</v>
      </c>
      <c r="AB103" s="1" t="s">
        <v>63</v>
      </c>
      <c r="AC103" s="1" t="s">
        <v>109</v>
      </c>
      <c r="AD103" s="1">
        <v>40</v>
      </c>
      <c r="AE103" s="1">
        <v>8.6920000000000002</v>
      </c>
      <c r="AF103" s="1">
        <v>200</v>
      </c>
      <c r="AG103" s="1" t="s">
        <v>65</v>
      </c>
      <c r="AH103" s="1" t="s">
        <v>110</v>
      </c>
      <c r="AI103" s="1">
        <v>2.8669999999999998E-6</v>
      </c>
      <c r="AJ103" s="1">
        <v>2</v>
      </c>
      <c r="AK103" s="1">
        <v>4.2399999999999999E-7</v>
      </c>
      <c r="AL103" s="1">
        <v>25.6557754257</v>
      </c>
      <c r="AM103" s="1">
        <v>386.02285714300001</v>
      </c>
      <c r="AN103" s="1">
        <v>0.62269785963199997</v>
      </c>
      <c r="AO103" s="1">
        <v>697593.30310400005</v>
      </c>
      <c r="AP103" s="1">
        <v>-1.6827974116500001E-3</v>
      </c>
      <c r="AQ103" s="1">
        <v>-2.2881337345199999E-3</v>
      </c>
      <c r="AR103" s="1">
        <v>0.25</v>
      </c>
      <c r="AS103" s="1">
        <v>3.6938973739000002E-3</v>
      </c>
      <c r="AT103" s="1">
        <v>0.279777807203</v>
      </c>
      <c r="AU103" s="1">
        <v>3.6563194701999999E-3</v>
      </c>
      <c r="AV103" s="1">
        <v>0.28265322976399998</v>
      </c>
      <c r="AW103" s="1">
        <v>4</v>
      </c>
      <c r="AX103" s="1">
        <v>4.02871000184E-3</v>
      </c>
      <c r="AY103" s="1">
        <v>0.25412076996799998</v>
      </c>
      <c r="AZ103" s="1">
        <v>-8.3953421549199998</v>
      </c>
      <c r="BA103" s="1">
        <v>-10.1848466655</v>
      </c>
      <c r="BB103" s="1">
        <v>-8.5296631983100006</v>
      </c>
      <c r="BC103" s="1">
        <v>-10.094510443300001</v>
      </c>
      <c r="BD103" s="1">
        <v>-3.72724542018</v>
      </c>
      <c r="BE103" s="1">
        <v>-0.218346205934</v>
      </c>
      <c r="BF103" s="1">
        <v>-1.26516955785</v>
      </c>
      <c r="BG103" s="1">
        <v>1.8643472646200001</v>
      </c>
    </row>
    <row r="104" spans="1:59" x14ac:dyDescent="0.3">
      <c r="A104" s="1" t="s">
        <v>140</v>
      </c>
      <c r="B104" s="1" t="s">
        <v>111</v>
      </c>
      <c r="C104" s="1" t="s">
        <v>112</v>
      </c>
      <c r="D104" s="2">
        <v>42331.747997685183</v>
      </c>
      <c r="E104" s="1">
        <v>265.69499999999999</v>
      </c>
      <c r="F104" s="1">
        <v>0.2</v>
      </c>
      <c r="G104" s="1">
        <v>20</v>
      </c>
      <c r="H104" s="1">
        <v>105</v>
      </c>
      <c r="I104" s="1">
        <v>-10.584</v>
      </c>
      <c r="J104" s="1">
        <v>-36.68</v>
      </c>
      <c r="K104" s="1">
        <v>1.5E-5</v>
      </c>
      <c r="L104" s="1">
        <v>-7.26</v>
      </c>
      <c r="M104" s="1">
        <v>20</v>
      </c>
      <c r="N104" s="1">
        <v>0.29569225089000001</v>
      </c>
      <c r="O104" s="1">
        <v>-7.26</v>
      </c>
      <c r="P104" s="1">
        <v>3.48702E-3</v>
      </c>
      <c r="Q104" s="1" t="s">
        <v>62</v>
      </c>
      <c r="R104" s="1">
        <v>2474</v>
      </c>
      <c r="S104" s="1">
        <v>626.6</v>
      </c>
      <c r="T104" s="1">
        <v>3619</v>
      </c>
      <c r="U104" s="1">
        <v>6407</v>
      </c>
      <c r="V104" s="1">
        <v>6407</v>
      </c>
      <c r="W104" s="1">
        <v>0.19750000000000001</v>
      </c>
      <c r="X104" s="1">
        <v>5</v>
      </c>
      <c r="Y104" s="1">
        <v>23</v>
      </c>
      <c r="Z104" s="1">
        <v>1</v>
      </c>
      <c r="AA104" s="1">
        <v>2.4400000000000002E-2</v>
      </c>
      <c r="AB104" s="1" t="s">
        <v>63</v>
      </c>
      <c r="AC104" s="1" t="s">
        <v>113</v>
      </c>
      <c r="AD104" s="1">
        <v>40</v>
      </c>
      <c r="AE104" s="1">
        <v>8.6920000000000002</v>
      </c>
      <c r="AF104" s="1">
        <v>200</v>
      </c>
      <c r="AG104" s="1" t="s">
        <v>65</v>
      </c>
      <c r="AH104" s="1" t="s">
        <v>114</v>
      </c>
      <c r="AI104" s="1">
        <v>2.864E-6</v>
      </c>
      <c r="AJ104" s="1">
        <v>2</v>
      </c>
      <c r="AK104" s="1">
        <v>4.2399999999999999E-7</v>
      </c>
      <c r="AL104" s="1">
        <v>25.6557754257</v>
      </c>
      <c r="AM104" s="1">
        <v>400.42152403799997</v>
      </c>
      <c r="AN104" s="1">
        <v>0.63903849989999995</v>
      </c>
      <c r="AO104" s="1">
        <v>698324.02234599995</v>
      </c>
      <c r="AP104" s="1">
        <v>-1.61857869539E-3</v>
      </c>
      <c r="AQ104" s="1">
        <v>-2.2239150182600002E-3</v>
      </c>
      <c r="AR104" s="1">
        <v>0.25</v>
      </c>
      <c r="AS104" s="1">
        <v>3.5573430876300002E-3</v>
      </c>
      <c r="AT104" s="1">
        <v>0.29051752441200002</v>
      </c>
      <c r="AU104" s="1">
        <v>3.5304434487899998E-3</v>
      </c>
      <c r="AV104" s="1">
        <v>0.29273107537100002</v>
      </c>
      <c r="AW104" s="1">
        <v>4</v>
      </c>
      <c r="AX104" s="1">
        <v>3.5425558263400001E-3</v>
      </c>
      <c r="AY104" s="1">
        <v>0.29083820237899999</v>
      </c>
      <c r="AZ104" s="1">
        <v>1.2299715155499999</v>
      </c>
      <c r="BA104" s="1">
        <v>-0.34308374353299997</v>
      </c>
      <c r="BB104" s="1">
        <v>1.01156855842</v>
      </c>
      <c r="BC104" s="1">
        <v>-0.64662523096500002</v>
      </c>
      <c r="BD104" s="1">
        <v>-2.1815956300399999</v>
      </c>
      <c r="BE104" s="1">
        <v>1.1347521704000001</v>
      </c>
      <c r="BF104" s="1">
        <v>-1.7974401898800001</v>
      </c>
      <c r="BG104" s="1">
        <v>1.74866085258</v>
      </c>
    </row>
    <row r="105" spans="1:59" x14ac:dyDescent="0.3">
      <c r="A105" s="1" t="s">
        <v>140</v>
      </c>
      <c r="B105" s="1" t="s">
        <v>115</v>
      </c>
      <c r="C105" s="1" t="s">
        <v>116</v>
      </c>
      <c r="D105" s="2">
        <v>42331.760983796295</v>
      </c>
      <c r="E105" s="1">
        <v>290.125</v>
      </c>
      <c r="F105" s="1">
        <v>0.2</v>
      </c>
      <c r="G105" s="1">
        <v>20</v>
      </c>
      <c r="H105" s="1">
        <v>114.6</v>
      </c>
      <c r="I105" s="1">
        <v>-10.96</v>
      </c>
      <c r="J105" s="1">
        <v>35.299999999999997</v>
      </c>
      <c r="K105" s="1">
        <v>1.88E-5</v>
      </c>
      <c r="L105" s="1">
        <v>-6.92</v>
      </c>
      <c r="M105" s="1">
        <v>20</v>
      </c>
      <c r="N105" s="1">
        <v>0.283162932895</v>
      </c>
      <c r="O105" s="1">
        <v>-6.92</v>
      </c>
      <c r="P105" s="1">
        <v>3.63496E-3</v>
      </c>
      <c r="Q105" s="1" t="s">
        <v>62</v>
      </c>
      <c r="R105" s="1">
        <v>2349</v>
      </c>
      <c r="S105" s="1">
        <v>615.83000000000004</v>
      </c>
      <c r="T105" s="1">
        <v>3762</v>
      </c>
      <c r="U105" s="1">
        <v>6164</v>
      </c>
      <c r="V105" s="1">
        <v>6164</v>
      </c>
      <c r="W105" s="1">
        <v>0.19750000000000001</v>
      </c>
      <c r="X105" s="1">
        <v>5</v>
      </c>
      <c r="Y105" s="1">
        <v>23</v>
      </c>
      <c r="Z105" s="1">
        <v>1</v>
      </c>
      <c r="AA105" s="1">
        <v>2.0500000000000001E-2</v>
      </c>
      <c r="AB105" s="1" t="s">
        <v>63</v>
      </c>
      <c r="AC105" s="1" t="s">
        <v>117</v>
      </c>
      <c r="AD105" s="1">
        <v>40</v>
      </c>
      <c r="AE105" s="1">
        <v>8.6920000000000002</v>
      </c>
      <c r="AF105" s="1">
        <v>200</v>
      </c>
      <c r="AG105" s="1" t="s">
        <v>65</v>
      </c>
      <c r="AH105" s="1" t="s">
        <v>118</v>
      </c>
      <c r="AI105" s="1">
        <v>2.869E-6</v>
      </c>
      <c r="AJ105" s="1">
        <v>2</v>
      </c>
      <c r="AK105" s="1">
        <v>4.2399999999999999E-7</v>
      </c>
      <c r="AL105" s="1">
        <v>25.6557754257</v>
      </c>
      <c r="AM105" s="1">
        <v>382.427576063</v>
      </c>
      <c r="AN105" s="1">
        <v>0.620995365706</v>
      </c>
      <c r="AO105" s="1">
        <v>697107.00592499995</v>
      </c>
      <c r="AP105" s="1">
        <v>-1.68948821277E-3</v>
      </c>
      <c r="AQ105" s="1">
        <v>-2.2948245356399998E-3</v>
      </c>
      <c r="AR105" s="1">
        <v>0.25</v>
      </c>
      <c r="AS105" s="1">
        <v>3.73122553386E-3</v>
      </c>
      <c r="AT105" s="1">
        <v>0.27697883655700001</v>
      </c>
      <c r="AU105" s="1">
        <v>3.69226557105E-3</v>
      </c>
      <c r="AV105" s="1">
        <v>0.27990145546599998</v>
      </c>
      <c r="AW105" s="1">
        <v>4</v>
      </c>
      <c r="AX105" s="1">
        <v>3.6902150827199998E-3</v>
      </c>
      <c r="AY105" s="1">
        <v>0.278735816212</v>
      </c>
      <c r="AZ105" s="1">
        <v>1.5520435880200001</v>
      </c>
      <c r="BA105" s="1">
        <v>5.5534692419999997E-2</v>
      </c>
      <c r="BB105" s="1">
        <v>1.1652234618599999</v>
      </c>
      <c r="BC105" s="1">
        <v>-0.41644629942299999</v>
      </c>
      <c r="BD105" s="1">
        <v>-2.1114407536500002</v>
      </c>
      <c r="BE105" s="1">
        <v>0.90348937903000004</v>
      </c>
      <c r="BF105" s="1">
        <v>-1.7536072024</v>
      </c>
      <c r="BG105" s="1">
        <v>1.48441187632</v>
      </c>
    </row>
    <row r="106" spans="1:59" x14ac:dyDescent="0.3">
      <c r="A106" s="1" t="s">
        <v>140</v>
      </c>
      <c r="B106" s="1" t="s">
        <v>119</v>
      </c>
      <c r="C106" s="1" t="s">
        <v>120</v>
      </c>
      <c r="D106" s="2">
        <v>42331.774895833332</v>
      </c>
      <c r="E106" s="1">
        <v>289.76</v>
      </c>
      <c r="F106" s="1">
        <v>0.2</v>
      </c>
      <c r="G106" s="1">
        <v>20</v>
      </c>
      <c r="H106" s="1">
        <v>114.6</v>
      </c>
      <c r="I106" s="1">
        <v>-10.648</v>
      </c>
      <c r="J106" s="1">
        <v>-36.46</v>
      </c>
      <c r="K106" s="1">
        <v>1.56E-5</v>
      </c>
      <c r="L106" s="1">
        <v>-6.92</v>
      </c>
      <c r="M106" s="1">
        <v>20</v>
      </c>
      <c r="N106" s="1">
        <v>0.29352218493799997</v>
      </c>
      <c r="O106" s="1">
        <v>-6.92</v>
      </c>
      <c r="P106" s="1">
        <v>3.49958E-3</v>
      </c>
      <c r="Q106" s="1" t="s">
        <v>62</v>
      </c>
      <c r="R106" s="1">
        <v>2350</v>
      </c>
      <c r="S106" s="1">
        <v>616.95000000000005</v>
      </c>
      <c r="T106" s="1">
        <v>3661</v>
      </c>
      <c r="U106" s="1">
        <v>6211</v>
      </c>
      <c r="V106" s="1">
        <v>6211</v>
      </c>
      <c r="W106" s="1">
        <v>0.19750000000000001</v>
      </c>
      <c r="X106" s="1">
        <v>5</v>
      </c>
      <c r="Y106" s="1">
        <v>23</v>
      </c>
      <c r="Z106" s="1">
        <v>1</v>
      </c>
      <c r="AA106" s="1">
        <v>2.4400000000000002E-2</v>
      </c>
      <c r="AB106" s="1" t="s">
        <v>63</v>
      </c>
      <c r="AC106" s="1" t="s">
        <v>121</v>
      </c>
      <c r="AD106" s="1">
        <v>40</v>
      </c>
      <c r="AE106" s="1">
        <v>8.6920000000000002</v>
      </c>
      <c r="AF106" s="1">
        <v>200</v>
      </c>
      <c r="AG106" s="1" t="s">
        <v>65</v>
      </c>
      <c r="AH106" s="1" t="s">
        <v>122</v>
      </c>
      <c r="AI106" s="1">
        <v>2.875E-6</v>
      </c>
      <c r="AJ106" s="1">
        <v>2</v>
      </c>
      <c r="AK106" s="1">
        <v>4.2399999999999999E-7</v>
      </c>
      <c r="AL106" s="1">
        <v>25.6557754257</v>
      </c>
      <c r="AM106" s="1">
        <v>388.15604234199998</v>
      </c>
      <c r="AN106" s="1">
        <v>0.62915316045400005</v>
      </c>
      <c r="AO106" s="1">
        <v>695652.17391300004</v>
      </c>
      <c r="AP106" s="1">
        <v>-1.6574280794199999E-3</v>
      </c>
      <c r="AQ106" s="1">
        <v>-2.2627644022899999E-3</v>
      </c>
      <c r="AR106" s="1">
        <v>0.25</v>
      </c>
      <c r="AS106" s="1">
        <v>3.6838475660799998E-3</v>
      </c>
      <c r="AT106" s="1">
        <v>0.28054106169300003</v>
      </c>
      <c r="AU106" s="1">
        <v>3.6501489754799999E-3</v>
      </c>
      <c r="AV106" s="1">
        <v>0.28313104869</v>
      </c>
      <c r="AW106" s="1">
        <v>4</v>
      </c>
      <c r="AX106" s="1">
        <v>3.5523692646799998E-3</v>
      </c>
      <c r="AY106" s="1">
        <v>0.28893208856399999</v>
      </c>
      <c r="AZ106" s="1">
        <v>4.1250090473399998</v>
      </c>
      <c r="BA106" s="1">
        <v>2.6787868510799999</v>
      </c>
      <c r="BB106" s="1">
        <v>3.6700800904899999</v>
      </c>
      <c r="BC106" s="1">
        <v>2.0488886333799998</v>
      </c>
      <c r="BD106" s="1">
        <v>-3.0568615349599999</v>
      </c>
      <c r="BE106" s="1">
        <v>-0.15641073058499999</v>
      </c>
      <c r="BF106" s="1">
        <v>-1.7716449598599999</v>
      </c>
      <c r="BG106" s="1">
        <v>1.5449995671400001</v>
      </c>
    </row>
    <row r="107" spans="1:59" x14ac:dyDescent="0.3">
      <c r="A107" s="1" t="s">
        <v>140</v>
      </c>
      <c r="B107" s="1" t="s">
        <v>123</v>
      </c>
      <c r="C107" s="1" t="s">
        <v>124</v>
      </c>
      <c r="D107" s="2">
        <v>42331.786412037036</v>
      </c>
      <c r="E107" s="1">
        <v>289.70499999999998</v>
      </c>
      <c r="F107" s="1">
        <v>0.2</v>
      </c>
      <c r="G107" s="1">
        <v>20</v>
      </c>
      <c r="H107" s="1">
        <v>114.4</v>
      </c>
      <c r="I107" s="1">
        <v>-10.507999999999999</v>
      </c>
      <c r="J107" s="1">
        <v>-72.599999999999994</v>
      </c>
      <c r="K107" s="1">
        <v>1.8E-5</v>
      </c>
      <c r="L107" s="1">
        <v>-6.24</v>
      </c>
      <c r="M107" s="1">
        <v>20</v>
      </c>
      <c r="N107" s="1">
        <v>0.29829515481000002</v>
      </c>
      <c r="O107" s="1">
        <v>-6.24</v>
      </c>
      <c r="P107" s="1">
        <v>3.4570400000000002E-3</v>
      </c>
      <c r="Q107" s="1" t="s">
        <v>62</v>
      </c>
      <c r="R107" s="1">
        <v>2911</v>
      </c>
      <c r="S107" s="1">
        <v>618.86</v>
      </c>
      <c r="T107" s="1">
        <v>3577</v>
      </c>
      <c r="U107" s="1">
        <v>6252</v>
      </c>
      <c r="V107" s="1">
        <v>6252</v>
      </c>
      <c r="W107" s="1">
        <v>0.19750000000000001</v>
      </c>
      <c r="X107" s="1">
        <v>5</v>
      </c>
      <c r="Y107" s="1">
        <v>23</v>
      </c>
      <c r="Z107" s="1">
        <v>1</v>
      </c>
      <c r="AA107" s="1">
        <v>2.4799999999999999E-2</v>
      </c>
      <c r="AB107" s="1" t="s">
        <v>63</v>
      </c>
      <c r="AC107" s="1" t="s">
        <v>125</v>
      </c>
      <c r="AD107" s="1">
        <v>40</v>
      </c>
      <c r="AE107" s="1">
        <v>8.6920000000000002</v>
      </c>
      <c r="AF107" s="1">
        <v>200</v>
      </c>
      <c r="AG107" s="1" t="s">
        <v>65</v>
      </c>
      <c r="AH107" s="1" t="s">
        <v>126</v>
      </c>
      <c r="AI107" s="1">
        <v>2.8660000000000002E-6</v>
      </c>
      <c r="AJ107" s="1">
        <v>2</v>
      </c>
      <c r="AK107" s="1">
        <v>4.2399999999999999E-7</v>
      </c>
      <c r="AL107" s="1">
        <v>25.6557754257</v>
      </c>
      <c r="AM107" s="1">
        <v>393.64255977200003</v>
      </c>
      <c r="AN107" s="1">
        <v>0.63607691525099996</v>
      </c>
      <c r="AO107" s="1">
        <v>697836.70621099998</v>
      </c>
      <c r="AP107" s="1">
        <v>-1.6302177230600001E-3</v>
      </c>
      <c r="AQ107" s="1">
        <v>-2.2355540459300001E-3</v>
      </c>
      <c r="AR107" s="1">
        <v>0.25</v>
      </c>
      <c r="AS107" s="1">
        <v>3.6211314647800002E-3</v>
      </c>
      <c r="AT107" s="1">
        <v>0.285399886017</v>
      </c>
      <c r="AU107" s="1">
        <v>3.5920201593800001E-3</v>
      </c>
      <c r="AV107" s="1">
        <v>0.28771289175600001</v>
      </c>
      <c r="AW107" s="1">
        <v>4</v>
      </c>
      <c r="AX107" s="1">
        <v>3.5042897930399998E-3</v>
      </c>
      <c r="AY107" s="1">
        <v>0.294084152007</v>
      </c>
      <c r="AZ107" s="1">
        <v>3.7577784476499998</v>
      </c>
      <c r="BA107" s="1">
        <v>2.4423684292300001</v>
      </c>
      <c r="BB107" s="1">
        <v>3.6780635685399998</v>
      </c>
      <c r="BC107" s="1">
        <v>2.2144507366799999</v>
      </c>
      <c r="BD107" s="1">
        <v>-1.6714828240399999</v>
      </c>
      <c r="BE107" s="1">
        <v>1.4418548522000001</v>
      </c>
      <c r="BF107" s="1">
        <v>-1.6491700946400001</v>
      </c>
      <c r="BG107" s="1">
        <v>1.8196914259600001</v>
      </c>
    </row>
    <row r="108" spans="1:59" x14ac:dyDescent="0.3">
      <c r="A108" s="1" t="s">
        <v>140</v>
      </c>
      <c r="B108" s="1" t="s">
        <v>127</v>
      </c>
      <c r="C108" s="1" t="s">
        <v>128</v>
      </c>
      <c r="D108" s="2">
        <v>42331.793773148151</v>
      </c>
      <c r="E108" s="1">
        <v>290.70499999999998</v>
      </c>
      <c r="F108" s="1">
        <v>0.2</v>
      </c>
      <c r="G108" s="1">
        <v>20</v>
      </c>
      <c r="H108" s="1">
        <v>114.8</v>
      </c>
      <c r="I108" s="1">
        <v>-11.374000000000001</v>
      </c>
      <c r="J108" s="1">
        <v>-0.82</v>
      </c>
      <c r="K108" s="1">
        <v>1.4E-5</v>
      </c>
      <c r="L108" s="1">
        <v>-6.54</v>
      </c>
      <c r="M108" s="1">
        <v>20</v>
      </c>
      <c r="N108" s="1">
        <v>0.26997616350999998</v>
      </c>
      <c r="O108" s="1">
        <v>-6.54</v>
      </c>
      <c r="P108" s="1">
        <v>3.8116399999999998E-3</v>
      </c>
      <c r="Q108" s="1" t="s">
        <v>62</v>
      </c>
      <c r="R108" s="1">
        <v>1466</v>
      </c>
      <c r="S108" s="1">
        <v>600.25</v>
      </c>
      <c r="T108" s="1">
        <v>3720</v>
      </c>
      <c r="U108" s="1">
        <v>5860</v>
      </c>
      <c r="V108" s="1">
        <v>5860</v>
      </c>
      <c r="W108" s="1">
        <v>0.19750000000000001</v>
      </c>
      <c r="X108" s="1">
        <v>5</v>
      </c>
      <c r="Y108" s="1">
        <v>23</v>
      </c>
      <c r="Z108" s="1">
        <v>1</v>
      </c>
      <c r="AA108" s="1">
        <v>2.1100000000000001E-2</v>
      </c>
      <c r="AB108" s="1" t="s">
        <v>63</v>
      </c>
      <c r="AC108" s="1" t="s">
        <v>129</v>
      </c>
      <c r="AD108" s="1">
        <v>40</v>
      </c>
      <c r="AE108" s="1">
        <v>8.6920000000000002</v>
      </c>
      <c r="AF108" s="1">
        <v>200</v>
      </c>
      <c r="AG108" s="1" t="s">
        <v>65</v>
      </c>
      <c r="AH108" s="1" t="s">
        <v>130</v>
      </c>
      <c r="AI108" s="1">
        <v>2.8650000000000001E-6</v>
      </c>
      <c r="AJ108" s="1">
        <v>2</v>
      </c>
      <c r="AK108" s="1">
        <v>4.2399999999999999E-7</v>
      </c>
      <c r="AL108" s="1">
        <v>25.6557754257</v>
      </c>
      <c r="AM108" s="1">
        <v>367.16753653400002</v>
      </c>
      <c r="AN108" s="1">
        <v>0.611691022965</v>
      </c>
      <c r="AO108" s="1">
        <v>698080.279232</v>
      </c>
      <c r="AP108" s="1">
        <v>-1.7260542797499999E-3</v>
      </c>
      <c r="AQ108" s="1">
        <v>-2.3313906026199999E-3</v>
      </c>
      <c r="AR108" s="1">
        <v>0.25</v>
      </c>
      <c r="AS108" s="1">
        <v>3.8808825892400001E-3</v>
      </c>
      <c r="AT108" s="1">
        <v>0.26629780302200001</v>
      </c>
      <c r="AU108" s="1">
        <v>3.83471709759E-3</v>
      </c>
      <c r="AV108" s="1">
        <v>0.26950371592</v>
      </c>
      <c r="AW108" s="1">
        <v>4</v>
      </c>
      <c r="AX108" s="1">
        <v>3.8667759204400001E-3</v>
      </c>
      <c r="AY108" s="1">
        <v>0.26600253641299998</v>
      </c>
      <c r="AZ108" s="1">
        <v>0.60179400478199996</v>
      </c>
      <c r="BA108" s="1">
        <v>-0.83601533126000005</v>
      </c>
      <c r="BB108" s="1">
        <v>0.175302811276</v>
      </c>
      <c r="BC108" s="1">
        <v>-1.2991210511</v>
      </c>
      <c r="BD108" s="1">
        <v>-0.61647311648699998</v>
      </c>
      <c r="BE108" s="1">
        <v>2.3073261810000001</v>
      </c>
      <c r="BF108" s="1">
        <v>-0.96756008495599999</v>
      </c>
      <c r="BG108" s="1">
        <v>2.0238780209799998</v>
      </c>
    </row>
    <row r="109" spans="1:59" x14ac:dyDescent="0.3">
      <c r="A109" s="1" t="s">
        <v>140</v>
      </c>
      <c r="B109" s="1" t="s">
        <v>131</v>
      </c>
      <c r="C109" s="1" t="s">
        <v>132</v>
      </c>
      <c r="D109" s="2">
        <v>42331.801168981481</v>
      </c>
      <c r="E109" s="1">
        <v>290.77499999999998</v>
      </c>
      <c r="F109" s="1">
        <v>0.2</v>
      </c>
      <c r="G109" s="1">
        <v>20</v>
      </c>
      <c r="H109" s="1">
        <v>114.8</v>
      </c>
      <c r="I109" s="1">
        <v>-10.853999999999999</v>
      </c>
      <c r="J109" s="1">
        <v>-72.38</v>
      </c>
      <c r="K109" s="1">
        <v>1.7200000000000001E-5</v>
      </c>
      <c r="L109" s="1">
        <v>-6.54</v>
      </c>
      <c r="M109" s="1">
        <v>20</v>
      </c>
      <c r="N109" s="1">
        <v>0.28663933488600002</v>
      </c>
      <c r="O109" s="1">
        <v>-6.54</v>
      </c>
      <c r="P109" s="1">
        <v>3.5855399999999999E-3</v>
      </c>
      <c r="Q109" s="1" t="s">
        <v>62</v>
      </c>
      <c r="R109" s="1">
        <v>954</v>
      </c>
      <c r="S109" s="1">
        <v>609.74</v>
      </c>
      <c r="T109" s="1">
        <v>3688</v>
      </c>
      <c r="U109" s="1">
        <v>6046</v>
      </c>
      <c r="V109" s="1">
        <v>6046</v>
      </c>
      <c r="W109" s="1">
        <v>0.19750000000000001</v>
      </c>
      <c r="X109" s="1">
        <v>5</v>
      </c>
      <c r="Y109" s="1">
        <v>23</v>
      </c>
      <c r="Z109" s="1">
        <v>1</v>
      </c>
      <c r="AA109" s="1">
        <v>2.1000000000000001E-2</v>
      </c>
      <c r="AB109" s="1" t="s">
        <v>63</v>
      </c>
      <c r="AC109" s="1" t="s">
        <v>133</v>
      </c>
      <c r="AD109" s="1">
        <v>40</v>
      </c>
      <c r="AE109" s="1">
        <v>8.6920000000000002</v>
      </c>
      <c r="AF109" s="1">
        <v>200</v>
      </c>
      <c r="AG109" s="1" t="s">
        <v>65</v>
      </c>
      <c r="AH109" s="1" t="s">
        <v>134</v>
      </c>
      <c r="AI109" s="1">
        <v>2.8660000000000002E-6</v>
      </c>
      <c r="AJ109" s="1">
        <v>2</v>
      </c>
      <c r="AK109" s="1">
        <v>4.2399999999999999E-7</v>
      </c>
      <c r="AL109" s="1">
        <v>25.6557754257</v>
      </c>
      <c r="AM109" s="1">
        <v>378.72283131299997</v>
      </c>
      <c r="AN109" s="1">
        <v>0.62112184097000001</v>
      </c>
      <c r="AO109" s="1">
        <v>697836.70621099998</v>
      </c>
      <c r="AP109" s="1">
        <v>-1.6889911649900001E-3</v>
      </c>
      <c r="AQ109" s="1">
        <v>-2.2943274878599999E-3</v>
      </c>
      <c r="AR109" s="1">
        <v>0.25</v>
      </c>
      <c r="AS109" s="1">
        <v>3.76378538924E-3</v>
      </c>
      <c r="AT109" s="1">
        <v>0.27458274062499999</v>
      </c>
      <c r="AU109" s="1">
        <v>3.7245646297000001E-3</v>
      </c>
      <c r="AV109" s="1">
        <v>0.27747417753499998</v>
      </c>
      <c r="AW109" s="1">
        <v>4</v>
      </c>
      <c r="AX109" s="1">
        <v>3.63705248264E-3</v>
      </c>
      <c r="AY109" s="1">
        <v>0.28240502310299997</v>
      </c>
      <c r="AZ109" s="1">
        <v>3.7326410876299998</v>
      </c>
      <c r="BA109" s="1">
        <v>2.3495939999500002</v>
      </c>
      <c r="BB109" s="1">
        <v>3.30306676924</v>
      </c>
      <c r="BC109" s="1">
        <v>1.7770466471199999</v>
      </c>
      <c r="BD109" s="1">
        <v>-1.8939126317599999</v>
      </c>
      <c r="BE109" s="1">
        <v>0.89000542763099999</v>
      </c>
      <c r="BF109" s="1">
        <v>-1.83922214288</v>
      </c>
      <c r="BG109" s="1">
        <v>1.27721035963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tabSelected="1" workbookViewId="0">
      <selection activeCell="K21" sqref="K21"/>
    </sheetView>
  </sheetViews>
  <sheetFormatPr defaultRowHeight="14.4" x14ac:dyDescent="0.3"/>
  <cols>
    <col min="1" max="1" width="10.77734375" customWidth="1"/>
    <col min="2" max="2" width="7.21875" style="8" bestFit="1" customWidth="1"/>
    <col min="3" max="3" width="5.44140625" style="4" customWidth="1"/>
    <col min="4" max="4" width="5.33203125" style="4" customWidth="1"/>
    <col min="5" max="5" width="5.5546875" style="6" customWidth="1"/>
    <col min="6" max="6" width="6.5546875" style="8" bestFit="1" customWidth="1"/>
    <col min="7" max="7" width="5.44140625" style="4" customWidth="1"/>
    <col min="8" max="8" width="5.33203125" style="4" customWidth="1"/>
    <col min="9" max="9" width="5.5546875" style="6" customWidth="1"/>
    <col min="10" max="10" width="6.5546875" style="8" bestFit="1" customWidth="1"/>
    <col min="11" max="11" width="5.44140625" style="4" customWidth="1"/>
    <col min="12" max="12" width="5.33203125" style="4" customWidth="1"/>
    <col min="13" max="13" width="5.5546875" style="6" customWidth="1"/>
    <col min="14" max="14" width="6.5546875" style="8" bestFit="1" customWidth="1"/>
    <col min="15" max="15" width="5.44140625" style="4" customWidth="1"/>
    <col min="16" max="16" width="5.33203125" style="4" customWidth="1"/>
    <col min="17" max="17" width="5.5546875" style="6" customWidth="1"/>
    <col min="18" max="18" width="6.5546875" style="8" bestFit="1" customWidth="1"/>
    <col min="19" max="19" width="5.44140625" style="4" customWidth="1"/>
    <col min="20" max="20" width="5.33203125" style="4" customWidth="1"/>
    <col min="21" max="21" width="5.5546875" style="6" customWidth="1"/>
    <col min="22" max="22" width="6.88671875" style="8" bestFit="1" customWidth="1"/>
    <col min="23" max="23" width="10.109375" style="4" customWidth="1"/>
    <col min="24" max="24" width="10" style="4" customWidth="1"/>
    <col min="25" max="25" width="10.21875" style="6" customWidth="1"/>
    <col min="26" max="26" width="5.5546875" customWidth="1"/>
    <col min="27" max="27" width="12" bestFit="1" customWidth="1"/>
    <col min="28" max="28" width="11.88671875" bestFit="1" customWidth="1"/>
    <col min="29" max="29" width="10.109375" bestFit="1" customWidth="1"/>
    <col min="30" max="30" width="10" customWidth="1"/>
    <col min="31" max="31" width="12.6640625" customWidth="1"/>
  </cols>
  <sheetData>
    <row r="1" spans="1:25" x14ac:dyDescent="0.3">
      <c r="B1" s="6" t="s">
        <v>59</v>
      </c>
      <c r="C1" s="6"/>
      <c r="D1" s="6"/>
      <c r="F1" s="6" t="s">
        <v>135</v>
      </c>
      <c r="J1" s="6" t="s">
        <v>137</v>
      </c>
      <c r="N1" s="6" t="s">
        <v>138</v>
      </c>
      <c r="R1" s="6" t="s">
        <v>139</v>
      </c>
      <c r="V1" s="6" t="s">
        <v>170</v>
      </c>
      <c r="W1" s="4" t="s">
        <v>166</v>
      </c>
      <c r="X1" s="4" t="s">
        <v>168</v>
      </c>
      <c r="Y1" s="6" t="s">
        <v>172</v>
      </c>
    </row>
    <row r="2" spans="1:25" x14ac:dyDescent="0.3">
      <c r="B2" t="s">
        <v>171</v>
      </c>
      <c r="C2" t="s">
        <v>167</v>
      </c>
      <c r="D2" t="s">
        <v>169</v>
      </c>
      <c r="E2" t="s">
        <v>173</v>
      </c>
      <c r="F2" t="s">
        <v>171</v>
      </c>
      <c r="G2" s="4" t="s">
        <v>167</v>
      </c>
      <c r="H2" s="4" t="s">
        <v>169</v>
      </c>
      <c r="I2" t="s">
        <v>173</v>
      </c>
      <c r="J2" t="s">
        <v>171</v>
      </c>
      <c r="K2" s="4" t="s">
        <v>167</v>
      </c>
      <c r="L2" s="4" t="s">
        <v>169</v>
      </c>
      <c r="M2" t="s">
        <v>173</v>
      </c>
      <c r="N2" t="s">
        <v>171</v>
      </c>
      <c r="O2" s="4" t="s">
        <v>167</v>
      </c>
      <c r="P2" s="4" t="s">
        <v>169</v>
      </c>
      <c r="Q2" t="s">
        <v>173</v>
      </c>
      <c r="R2" t="s">
        <v>171</v>
      </c>
      <c r="S2" s="4" t="s">
        <v>167</v>
      </c>
      <c r="T2" s="4" t="s">
        <v>169</v>
      </c>
      <c r="U2" t="s">
        <v>173</v>
      </c>
      <c r="V2" s="6"/>
    </row>
    <row r="3" spans="1:25" x14ac:dyDescent="0.3">
      <c r="A3" s="3" t="s">
        <v>60</v>
      </c>
      <c r="B3" s="8">
        <v>0.28840315031300001</v>
      </c>
      <c r="C3" s="4">
        <v>2.69803164635</v>
      </c>
      <c r="D3" s="4">
        <v>0</v>
      </c>
      <c r="E3" s="6">
        <v>-18.399999999999999</v>
      </c>
      <c r="F3" s="8">
        <v>0.27861211686300003</v>
      </c>
      <c r="G3" s="4">
        <v>-0.78847625751499995</v>
      </c>
      <c r="H3" s="4">
        <v>-0.11869449801199999</v>
      </c>
      <c r="I3" s="6">
        <v>-4</v>
      </c>
      <c r="J3" s="8">
        <v>0.27765148461099998</v>
      </c>
      <c r="K3" s="4">
        <v>-1.13054964109</v>
      </c>
      <c r="L3" s="4">
        <v>0.42801302842700001</v>
      </c>
      <c r="M3" s="6">
        <v>0</v>
      </c>
      <c r="N3" s="8">
        <v>0.27989813196300001</v>
      </c>
      <c r="O3" s="4">
        <v>-0.33053667071999998</v>
      </c>
      <c r="P3" s="4">
        <v>0.99684295094999997</v>
      </c>
      <c r="Q3" s="6">
        <v>-1</v>
      </c>
      <c r="R3" s="8">
        <v>0.28807130497799999</v>
      </c>
      <c r="S3" s="4">
        <v>2.5798642036800001</v>
      </c>
      <c r="T3" s="4">
        <v>0.45988151375500003</v>
      </c>
      <c r="U3" s="6">
        <v>-15.9</v>
      </c>
      <c r="V3" s="8">
        <v>0.28252723774559996</v>
      </c>
      <c r="W3" s="4">
        <v>0.60566665614100001</v>
      </c>
      <c r="X3" s="4">
        <v>0.35320859902400004</v>
      </c>
      <c r="Y3" s="6">
        <v>-7.8599999999999994</v>
      </c>
    </row>
    <row r="4" spans="1:25" x14ac:dyDescent="0.3">
      <c r="A4" s="3" t="s">
        <v>67</v>
      </c>
      <c r="B4" s="8">
        <v>0.287408759362</v>
      </c>
      <c r="C4" s="4">
        <v>5.2279401002399997</v>
      </c>
      <c r="D4" s="4">
        <v>0</v>
      </c>
      <c r="E4" s="6">
        <v>-19.8</v>
      </c>
      <c r="F4" s="8">
        <v>0.27989813196300001</v>
      </c>
      <c r="G4" s="4">
        <v>2.4781009801099998</v>
      </c>
      <c r="H4" s="4">
        <v>0.92154092643300001</v>
      </c>
      <c r="I4" s="6">
        <v>-4.4000000000000004</v>
      </c>
      <c r="J4" s="8">
        <v>0.27701290391599998</v>
      </c>
      <c r="K4" s="4">
        <v>1.4217427647700001</v>
      </c>
      <c r="L4" s="4">
        <v>0.88247623201199998</v>
      </c>
      <c r="M4" s="6">
        <v>0</v>
      </c>
      <c r="N4" s="8">
        <v>0.279254384124</v>
      </c>
      <c r="O4" s="4">
        <v>2.2424078882699998</v>
      </c>
      <c r="P4" s="4">
        <v>1.4659903697900001</v>
      </c>
      <c r="Q4" s="6">
        <v>-1</v>
      </c>
      <c r="R4" s="8">
        <v>0.288735377919</v>
      </c>
      <c r="S4" s="4">
        <v>5.7136502031700003</v>
      </c>
      <c r="T4" s="4">
        <v>1.3782400072100001</v>
      </c>
      <c r="U4" s="6">
        <v>-15.9</v>
      </c>
      <c r="V4" s="8">
        <v>0.2824619114568</v>
      </c>
      <c r="W4" s="4">
        <v>3.4167683873119996</v>
      </c>
      <c r="X4" s="4">
        <v>0.92964950708899996</v>
      </c>
      <c r="Y4" s="6">
        <v>-8.2200000000000006</v>
      </c>
    </row>
    <row r="5" spans="1:25" x14ac:dyDescent="0.3">
      <c r="A5" s="3" t="s">
        <v>71</v>
      </c>
      <c r="B5" s="8">
        <v>0.29174270140000003</v>
      </c>
      <c r="C5" s="4">
        <v>5.3851657700400004</v>
      </c>
      <c r="D5" s="4">
        <v>0</v>
      </c>
      <c r="E5" s="6">
        <v>-19.8</v>
      </c>
      <c r="F5" s="8">
        <v>0.28346536334900002</v>
      </c>
      <c r="G5" s="4">
        <v>2.3951727437599999</v>
      </c>
      <c r="H5" s="4">
        <v>0.69182057040900002</v>
      </c>
      <c r="I5" s="6">
        <v>-4.4000000000000004</v>
      </c>
      <c r="J5" s="8">
        <v>0.280543363795</v>
      </c>
      <c r="K5" s="4">
        <v>1.3396693639699999</v>
      </c>
      <c r="L5" s="4">
        <v>0.65278748826599997</v>
      </c>
      <c r="M5" s="6">
        <v>0</v>
      </c>
      <c r="N5" s="8">
        <v>0.28281341110500002</v>
      </c>
      <c r="O5" s="4">
        <v>2.1596703815699998</v>
      </c>
      <c r="P5" s="4">
        <v>1.2358294295700001</v>
      </c>
      <c r="Q5" s="6">
        <v>-1</v>
      </c>
      <c r="R5" s="8">
        <v>0.29241523778400003</v>
      </c>
      <c r="S5" s="4">
        <v>5.6281036670200004</v>
      </c>
      <c r="T5" s="4">
        <v>1.1481500771199999</v>
      </c>
      <c r="U5" s="6">
        <v>-15.9</v>
      </c>
      <c r="V5" s="8">
        <v>0.28619601548660006</v>
      </c>
      <c r="W5" s="4">
        <v>3.3815563852719999</v>
      </c>
      <c r="X5" s="4">
        <v>0.74571751307299994</v>
      </c>
      <c r="Y5" s="6">
        <v>-8.2200000000000006</v>
      </c>
    </row>
    <row r="6" spans="1:25" x14ac:dyDescent="0.3">
      <c r="A6" s="3" t="s">
        <v>75</v>
      </c>
      <c r="B6" s="8">
        <v>0.28379190284400002</v>
      </c>
      <c r="C6" s="4">
        <v>4.3288193390799998</v>
      </c>
      <c r="D6" s="4">
        <v>0</v>
      </c>
      <c r="E6" s="6">
        <v>-19.8</v>
      </c>
      <c r="F6" s="8">
        <v>0.279576072758</v>
      </c>
      <c r="G6" s="4">
        <v>2.7789774619599998</v>
      </c>
      <c r="H6" s="4">
        <v>2.1571850699500001</v>
      </c>
      <c r="I6" s="6">
        <v>-4</v>
      </c>
      <c r="J6" s="8">
        <v>0.27701290391599998</v>
      </c>
      <c r="K6" s="4">
        <v>1.8366941327299999</v>
      </c>
      <c r="L6" s="4">
        <v>2.1421966788</v>
      </c>
      <c r="M6" s="6">
        <v>0</v>
      </c>
      <c r="N6" s="8">
        <v>0.27861211686300003</v>
      </c>
      <c r="O6" s="4">
        <v>2.4246037838399999</v>
      </c>
      <c r="P6" s="4">
        <v>2.49514427087</v>
      </c>
      <c r="Q6" s="6">
        <v>-1</v>
      </c>
      <c r="R6" s="8">
        <v>0.28543025137900002</v>
      </c>
      <c r="S6" s="4">
        <v>4.9311161860199997</v>
      </c>
      <c r="T6" s="4">
        <v>1.85596756214</v>
      </c>
      <c r="U6" s="6">
        <v>-14.3</v>
      </c>
      <c r="V6" s="8">
        <v>0.28088464955199999</v>
      </c>
      <c r="W6" s="4">
        <v>3.2600421807259998</v>
      </c>
      <c r="X6" s="4">
        <v>1.7300987163519999</v>
      </c>
      <c r="Y6" s="6">
        <v>-7.82</v>
      </c>
    </row>
    <row r="7" spans="1:25" x14ac:dyDescent="0.3">
      <c r="A7" s="3" t="s">
        <v>79</v>
      </c>
      <c r="B7" s="8">
        <v>0.29207877602100002</v>
      </c>
      <c r="C7" s="4">
        <v>2.2912546014699999</v>
      </c>
      <c r="D7" s="4">
        <v>0</v>
      </c>
      <c r="E7" s="6">
        <v>-18.899999999999999</v>
      </c>
      <c r="F7" s="8">
        <v>0.28906798823699997</v>
      </c>
      <c r="G7" s="4">
        <v>1.2368224240400001</v>
      </c>
      <c r="H7" s="4">
        <v>2.3655617930099999</v>
      </c>
      <c r="I7" s="6">
        <v>-4</v>
      </c>
      <c r="J7" s="8">
        <v>0.287078058202</v>
      </c>
      <c r="K7" s="4">
        <v>0.53991304045300004</v>
      </c>
      <c r="L7" s="4">
        <v>2.5346146038600001</v>
      </c>
      <c r="M7" s="6">
        <v>-0.2</v>
      </c>
      <c r="N7" s="8">
        <v>0.28840315031300001</v>
      </c>
      <c r="O7" s="4">
        <v>1.00398419366</v>
      </c>
      <c r="P7" s="4">
        <v>2.8131132801700001</v>
      </c>
      <c r="Q7" s="6">
        <v>-1</v>
      </c>
      <c r="R7" s="8">
        <v>0.29410336937499998</v>
      </c>
      <c r="S7" s="4">
        <v>3.0003037047999999</v>
      </c>
      <c r="T7" s="4">
        <v>1.7278360286800001</v>
      </c>
      <c r="U7" s="6">
        <v>-14.3</v>
      </c>
      <c r="V7" s="8">
        <v>0.29014626842960001</v>
      </c>
      <c r="W7" s="4">
        <v>1.6144555928846001</v>
      </c>
      <c r="X7" s="4">
        <v>1.8882251411440003</v>
      </c>
      <c r="Y7" s="6">
        <v>-7.68</v>
      </c>
    </row>
    <row r="8" spans="1:25" x14ac:dyDescent="0.3">
      <c r="A8" s="3" t="s">
        <v>83</v>
      </c>
      <c r="B8" s="8">
        <v>0.29682467434600002</v>
      </c>
      <c r="C8" s="4">
        <v>4.4023587364700001</v>
      </c>
      <c r="D8" s="4">
        <v>0</v>
      </c>
      <c r="E8" s="6">
        <v>-19.100000000000001</v>
      </c>
      <c r="F8" s="8">
        <v>0.28940098170700002</v>
      </c>
      <c r="G8" s="4">
        <v>1.7912179213099999</v>
      </c>
      <c r="H8" s="4">
        <v>0.95680540673500003</v>
      </c>
      <c r="I8" s="6">
        <v>-4</v>
      </c>
      <c r="J8" s="8">
        <v>0.28608823606299999</v>
      </c>
      <c r="K8" s="4">
        <v>0.62602348501100002</v>
      </c>
      <c r="L8" s="4">
        <v>0.71258055225799999</v>
      </c>
      <c r="M8" s="6">
        <v>0</v>
      </c>
      <c r="N8" s="8">
        <v>0.28940098170700002</v>
      </c>
      <c r="O8" s="4">
        <v>1.7912179213099999</v>
      </c>
      <c r="P8" s="4">
        <v>1.63778865463</v>
      </c>
      <c r="Q8" s="6">
        <v>-1</v>
      </c>
      <c r="R8" s="8">
        <v>0.29682467434600002</v>
      </c>
      <c r="S8" s="4">
        <v>4.4023587364700001</v>
      </c>
      <c r="T8" s="4">
        <v>1.1175228479199999</v>
      </c>
      <c r="U8" s="6">
        <v>-14.3</v>
      </c>
      <c r="V8" s="8">
        <v>0.2917079096338</v>
      </c>
      <c r="W8" s="4">
        <v>2.6026353601142</v>
      </c>
      <c r="X8" s="4">
        <v>0.88493949230860003</v>
      </c>
      <c r="Y8" s="6">
        <v>-7.68</v>
      </c>
    </row>
    <row r="9" spans="1:25" x14ac:dyDescent="0.3">
      <c r="A9" s="3" t="s">
        <v>87</v>
      </c>
      <c r="B9" s="8">
        <v>0.31477483141000001</v>
      </c>
      <c r="C9" s="4">
        <v>7.34889354336</v>
      </c>
      <c r="D9" s="4">
        <v>0</v>
      </c>
      <c r="E9" s="6">
        <v>-19.100000000000001</v>
      </c>
      <c r="F9" s="8">
        <v>0.30654906794300002</v>
      </c>
      <c r="G9" s="4">
        <v>4.54362921255</v>
      </c>
      <c r="H9" s="4">
        <v>0.86579661659600005</v>
      </c>
      <c r="I9" s="6">
        <v>-4</v>
      </c>
      <c r="J9" s="8">
        <v>0.30304002977900002</v>
      </c>
      <c r="K9" s="4">
        <v>3.3469281847299999</v>
      </c>
      <c r="L9" s="4">
        <v>0.61496797781599999</v>
      </c>
      <c r="M9" s="6">
        <v>0</v>
      </c>
      <c r="N9" s="8">
        <v>0.30584402465100002</v>
      </c>
      <c r="O9" s="4">
        <v>4.3031855376000001</v>
      </c>
      <c r="P9" s="4">
        <v>1.3279669574499999</v>
      </c>
      <c r="Q9" s="6">
        <v>-1</v>
      </c>
      <c r="R9" s="8">
        <v>0.31405086938799998</v>
      </c>
      <c r="S9" s="4">
        <v>7.1019979394900004</v>
      </c>
      <c r="T9" s="4">
        <v>1.3904680033200001</v>
      </c>
      <c r="U9" s="6">
        <v>-12.3</v>
      </c>
      <c r="V9" s="8">
        <v>0.30885176463420005</v>
      </c>
      <c r="W9" s="4">
        <v>5.3289268835460009</v>
      </c>
      <c r="X9" s="4">
        <v>0.83983991103639999</v>
      </c>
      <c r="Y9" s="6">
        <v>-7.2799999999999994</v>
      </c>
    </row>
    <row r="10" spans="1:25" x14ac:dyDescent="0.3">
      <c r="A10" s="3" t="s">
        <v>91</v>
      </c>
      <c r="B10" s="8">
        <v>0.29512092266700002</v>
      </c>
      <c r="C10" s="4">
        <v>3.86989690394</v>
      </c>
      <c r="D10" s="4">
        <v>0</v>
      </c>
      <c r="E10" s="6">
        <v>-19.100000000000001</v>
      </c>
      <c r="F10" s="8">
        <v>0.287078058202</v>
      </c>
      <c r="G10" s="4">
        <v>1.0391538473099999</v>
      </c>
      <c r="H10" s="4">
        <v>0.72368099496000005</v>
      </c>
      <c r="I10" s="6">
        <v>-4</v>
      </c>
      <c r="J10" s="8">
        <v>0.28379190284400002</v>
      </c>
      <c r="K10" s="4">
        <v>-0.11743178272300001</v>
      </c>
      <c r="L10" s="4">
        <v>0.48126054701999998</v>
      </c>
      <c r="M10" s="6">
        <v>0</v>
      </c>
      <c r="N10" s="8">
        <v>0.28510182675000001</v>
      </c>
      <c r="O10" s="4">
        <v>0.34360520463599997</v>
      </c>
      <c r="P10" s="4">
        <v>0.71339073236299999</v>
      </c>
      <c r="Q10" s="6">
        <v>-1</v>
      </c>
      <c r="R10" s="8">
        <v>0.29512092266700002</v>
      </c>
      <c r="S10" s="4">
        <v>3.86989690394</v>
      </c>
      <c r="T10" s="4">
        <v>1.5750831166499999</v>
      </c>
      <c r="U10" s="6">
        <v>-12.3</v>
      </c>
      <c r="V10" s="8">
        <v>0.28924272662599998</v>
      </c>
      <c r="W10" s="4">
        <v>1.8010242154205998</v>
      </c>
      <c r="X10" s="4">
        <v>0.69868307819859998</v>
      </c>
      <c r="Y10" s="6">
        <v>-7.2799999999999994</v>
      </c>
    </row>
    <row r="11" spans="1:25" x14ac:dyDescent="0.3">
      <c r="A11" s="3" t="s">
        <v>95</v>
      </c>
      <c r="B11" s="8">
        <v>0.28411881849800003</v>
      </c>
      <c r="C11" s="4">
        <v>5.3346878089100001</v>
      </c>
      <c r="D11" s="4">
        <v>0</v>
      </c>
      <c r="E11" s="6">
        <v>-19.100000000000001</v>
      </c>
      <c r="F11" s="8">
        <v>0.27797132677600001</v>
      </c>
      <c r="G11" s="4">
        <v>3.05555640604</v>
      </c>
      <c r="H11" s="4">
        <v>1.3135457069700001</v>
      </c>
      <c r="I11" s="6">
        <v>-4</v>
      </c>
      <c r="J11" s="8">
        <v>0.27510596049899999</v>
      </c>
      <c r="K11" s="4">
        <v>1.99324570156</v>
      </c>
      <c r="L11" s="4">
        <v>1.1823353299899999</v>
      </c>
      <c r="M11" s="6">
        <v>0</v>
      </c>
      <c r="N11" s="8">
        <v>0.27701290391599998</v>
      </c>
      <c r="O11" s="4">
        <v>2.7002291058800001</v>
      </c>
      <c r="P11" s="4">
        <v>1.65241435845</v>
      </c>
      <c r="Q11" s="6">
        <v>-1</v>
      </c>
      <c r="R11" s="8">
        <v>0.28444611074499998</v>
      </c>
      <c r="S11" s="4">
        <v>5.4560286858899998</v>
      </c>
      <c r="T11" s="4">
        <v>1.7139548732200001</v>
      </c>
      <c r="U11" s="6">
        <v>-12.3</v>
      </c>
      <c r="V11" s="8">
        <v>0.27973102408680001</v>
      </c>
      <c r="W11" s="4">
        <v>3.7079495416560002</v>
      </c>
      <c r="X11" s="4">
        <v>1.1724500537259999</v>
      </c>
      <c r="Y11" s="6">
        <v>-7.2799999999999994</v>
      </c>
    </row>
    <row r="12" spans="1:25" x14ac:dyDescent="0.3">
      <c r="A12" s="3" t="s">
        <v>99</v>
      </c>
      <c r="B12" s="8">
        <v>0.30304002977900002</v>
      </c>
      <c r="C12" s="4">
        <v>7.2184097017099997</v>
      </c>
      <c r="D12" s="4">
        <v>0</v>
      </c>
      <c r="E12" s="6">
        <v>-23.9</v>
      </c>
      <c r="F12" s="8">
        <v>0.29648313895200001</v>
      </c>
      <c r="G12" s="4">
        <v>4.89852012307</v>
      </c>
      <c r="H12" s="4">
        <v>2.3677401225999999</v>
      </c>
      <c r="I12" s="6">
        <v>-4.5</v>
      </c>
      <c r="J12" s="8">
        <v>0.29308932452499997</v>
      </c>
      <c r="K12" s="4">
        <v>3.6977566926000001</v>
      </c>
      <c r="L12" s="4">
        <v>2.1867726543199999</v>
      </c>
      <c r="M12" s="6">
        <v>-0.2</v>
      </c>
      <c r="N12" s="8">
        <v>0.29546088884799998</v>
      </c>
      <c r="O12" s="4">
        <v>4.5368384317099997</v>
      </c>
      <c r="P12" s="4">
        <v>3.0860595465</v>
      </c>
      <c r="Q12" s="6">
        <v>0.1</v>
      </c>
      <c r="R12" s="8">
        <v>0.30338911841900001</v>
      </c>
      <c r="S12" s="4">
        <v>7.3419205425599996</v>
      </c>
      <c r="T12" s="4">
        <v>3.2513304624999999</v>
      </c>
      <c r="U12" s="6">
        <v>-10.8</v>
      </c>
      <c r="V12" s="8">
        <v>0.29829250010460001</v>
      </c>
      <c r="W12" s="4">
        <v>5.5386890983299999</v>
      </c>
      <c r="X12" s="4">
        <v>2.178380557184</v>
      </c>
      <c r="Y12" s="6">
        <v>-7.8599999999999994</v>
      </c>
    </row>
    <row r="13" spans="1:25" x14ac:dyDescent="0.3">
      <c r="A13" s="3" t="s">
        <v>103</v>
      </c>
      <c r="B13" s="8">
        <v>0.30478949896300001</v>
      </c>
      <c r="C13" s="4">
        <v>3.9658304854600002</v>
      </c>
      <c r="D13" s="4">
        <v>0</v>
      </c>
      <c r="E13" s="6">
        <v>-22.7</v>
      </c>
      <c r="F13" s="8">
        <v>0.29819475479300001</v>
      </c>
      <c r="G13" s="4">
        <v>1.7163171103899999</v>
      </c>
      <c r="H13" s="4">
        <v>2.0176997618599999</v>
      </c>
      <c r="I13" s="6">
        <v>-4.5</v>
      </c>
      <c r="J13" s="8">
        <v>0.294781347661</v>
      </c>
      <c r="K13" s="4">
        <v>0.55198005658000004</v>
      </c>
      <c r="L13" s="4">
        <v>1.88706830841</v>
      </c>
      <c r="M13" s="6">
        <v>0</v>
      </c>
      <c r="N13" s="8">
        <v>0.29750892588799999</v>
      </c>
      <c r="O13" s="4">
        <v>1.4823760728299999</v>
      </c>
      <c r="P13" s="4">
        <v>2.8297209789400002</v>
      </c>
      <c r="Q13" s="6">
        <v>0.1</v>
      </c>
      <c r="R13" s="8">
        <v>0.30408850256800002</v>
      </c>
      <c r="S13" s="4">
        <v>3.7267157107100002</v>
      </c>
      <c r="T13" s="4">
        <v>2.5282514388099999</v>
      </c>
      <c r="U13" s="6">
        <v>-10.8</v>
      </c>
      <c r="V13" s="8">
        <v>0.29987260597459997</v>
      </c>
      <c r="W13" s="4">
        <v>2.288643887194</v>
      </c>
      <c r="X13" s="4">
        <v>1.8525480976040001</v>
      </c>
      <c r="Y13" s="6">
        <v>-7.58</v>
      </c>
    </row>
    <row r="14" spans="1:25" x14ac:dyDescent="0.3">
      <c r="A14" s="3" t="s">
        <v>107</v>
      </c>
      <c r="B14" s="8">
        <v>0.26211990386400003</v>
      </c>
      <c r="C14" s="4">
        <v>-7.2644936404599996</v>
      </c>
      <c r="D14" s="4">
        <v>0</v>
      </c>
      <c r="E14" s="6">
        <v>-22.7</v>
      </c>
      <c r="F14" s="8">
        <v>0.256743820811</v>
      </c>
      <c r="G14" s="4">
        <v>-9.1665002290299995</v>
      </c>
      <c r="H14" s="4">
        <v>1.9020506821200001</v>
      </c>
      <c r="I14" s="6">
        <v>-4.5</v>
      </c>
      <c r="J14" s="8">
        <v>0.254683025259</v>
      </c>
      <c r="K14" s="4">
        <v>-9.8955899174099997</v>
      </c>
      <c r="L14" s="4">
        <v>2.09260451396</v>
      </c>
      <c r="M14" s="6">
        <v>0</v>
      </c>
      <c r="N14" s="8">
        <v>0.256448403652</v>
      </c>
      <c r="O14" s="4">
        <v>-9.2710159846300009</v>
      </c>
      <c r="P14" s="4">
        <v>2.7304470108199999</v>
      </c>
      <c r="Q14" s="6">
        <v>0.1</v>
      </c>
      <c r="R14" s="8">
        <v>0.262724152647</v>
      </c>
      <c r="S14" s="4">
        <v>-7.05071622003</v>
      </c>
      <c r="T14" s="4">
        <v>2.6671673190599998</v>
      </c>
      <c r="U14" s="6">
        <v>-10.8</v>
      </c>
      <c r="V14" s="8">
        <v>0.25854386124660006</v>
      </c>
      <c r="W14" s="4">
        <v>-8.529663198311999</v>
      </c>
      <c r="X14" s="4">
        <v>1.878453905192</v>
      </c>
      <c r="Y14" s="6">
        <v>-7.58</v>
      </c>
    </row>
    <row r="15" spans="1:25" x14ac:dyDescent="0.3">
      <c r="A15" s="3" t="s">
        <v>111</v>
      </c>
      <c r="B15" s="8">
        <v>0.30095391688700002</v>
      </c>
      <c r="C15" s="4">
        <v>2.8090087483000001</v>
      </c>
      <c r="D15" s="4">
        <v>0</v>
      </c>
      <c r="E15" s="6">
        <v>-22.7</v>
      </c>
      <c r="F15" s="8">
        <v>0.29376496519599998</v>
      </c>
      <c r="G15" s="4">
        <v>0.35318758819700002</v>
      </c>
      <c r="H15" s="4">
        <v>1.7688118402299999</v>
      </c>
      <c r="I15" s="6">
        <v>-4.5</v>
      </c>
      <c r="J15" s="8">
        <v>0.29073679594399998</v>
      </c>
      <c r="K15" s="4">
        <v>-0.68126673063200005</v>
      </c>
      <c r="L15" s="4">
        <v>1.7529359245</v>
      </c>
      <c r="M15" s="6">
        <v>0</v>
      </c>
      <c r="N15" s="8">
        <v>0.29308932452499997</v>
      </c>
      <c r="O15" s="4">
        <v>0.122381661541</v>
      </c>
      <c r="P15" s="4">
        <v>2.5699509282099999</v>
      </c>
      <c r="Q15" s="6">
        <v>0.1</v>
      </c>
      <c r="R15" s="8">
        <v>0.29991625189900001</v>
      </c>
      <c r="S15" s="4">
        <v>2.4545315247100001</v>
      </c>
      <c r="T15" s="4">
        <v>2.7518128605399998</v>
      </c>
      <c r="U15" s="6">
        <v>-9.1999999999999993</v>
      </c>
      <c r="V15" s="8">
        <v>0.29569225089019996</v>
      </c>
      <c r="W15" s="4">
        <v>1.0115685584232001</v>
      </c>
      <c r="X15" s="4">
        <v>1.7687023106959998</v>
      </c>
      <c r="Y15" s="6">
        <v>-7.26</v>
      </c>
    </row>
    <row r="16" spans="1:25" x14ac:dyDescent="0.3">
      <c r="A16" s="3" t="s">
        <v>115</v>
      </c>
      <c r="B16" s="8">
        <v>0.28807130497799999</v>
      </c>
      <c r="C16" s="4">
        <v>2.9188306642700002</v>
      </c>
      <c r="D16" s="4">
        <v>0</v>
      </c>
      <c r="E16" s="6">
        <v>-21</v>
      </c>
      <c r="F16" s="8">
        <v>0.28151400151299999</v>
      </c>
      <c r="G16" s="4">
        <v>0.57611206237099999</v>
      </c>
      <c r="H16" s="4">
        <v>1.4938102659800001</v>
      </c>
      <c r="I16" s="6">
        <v>-4.5</v>
      </c>
      <c r="J16" s="8">
        <v>0.27829153738500001</v>
      </c>
      <c r="K16" s="4">
        <v>-0.57517317217999997</v>
      </c>
      <c r="L16" s="4">
        <v>1.3646431463399999</v>
      </c>
      <c r="M16" s="6">
        <v>0</v>
      </c>
      <c r="N16" s="8">
        <v>0.28119008303999998</v>
      </c>
      <c r="O16" s="4">
        <v>0.46038616416200001</v>
      </c>
      <c r="P16" s="4">
        <v>2.4110586621899999</v>
      </c>
      <c r="Q16" s="6">
        <v>0.1</v>
      </c>
      <c r="R16" s="8">
        <v>0.28674773755799998</v>
      </c>
      <c r="S16" s="4">
        <v>2.4459615907000001</v>
      </c>
      <c r="T16" s="4">
        <v>2.2503109086099999</v>
      </c>
      <c r="U16" s="6">
        <v>-9.1999999999999993</v>
      </c>
      <c r="V16" s="8">
        <v>0.28316293289479999</v>
      </c>
      <c r="W16" s="4">
        <v>1.1652234618646002</v>
      </c>
      <c r="X16" s="4">
        <v>1.5039645966240003</v>
      </c>
      <c r="Y16" s="6">
        <v>-6.92</v>
      </c>
    </row>
    <row r="17" spans="1:25" x14ac:dyDescent="0.3">
      <c r="A17" s="3" t="s">
        <v>119</v>
      </c>
      <c r="B17" s="8">
        <v>0.298538261892</v>
      </c>
      <c r="C17" s="4">
        <v>5.4417250503499996</v>
      </c>
      <c r="D17" s="4">
        <v>0</v>
      </c>
      <c r="E17" s="6">
        <v>-21</v>
      </c>
      <c r="F17" s="8">
        <v>0.29140701347699999</v>
      </c>
      <c r="G17" s="4">
        <v>2.92301562313</v>
      </c>
      <c r="H17" s="4">
        <v>1.4143777052299999</v>
      </c>
      <c r="I17" s="6">
        <v>-4.5</v>
      </c>
      <c r="J17" s="8">
        <v>0.28807130497799999</v>
      </c>
      <c r="K17" s="4">
        <v>1.74486560567</v>
      </c>
      <c r="L17" s="4">
        <v>1.28219652224</v>
      </c>
      <c r="M17" s="6">
        <v>0</v>
      </c>
      <c r="N17" s="8">
        <v>0.29174270140000003</v>
      </c>
      <c r="O17" s="4">
        <v>3.04157836099</v>
      </c>
      <c r="P17" s="4">
        <v>2.5874292023100001</v>
      </c>
      <c r="Q17" s="6">
        <v>0.1</v>
      </c>
      <c r="R17" s="8">
        <v>0.29785164294299998</v>
      </c>
      <c r="S17" s="4">
        <v>5.1992158122900003</v>
      </c>
      <c r="T17" s="4">
        <v>2.5397636124499998</v>
      </c>
      <c r="U17" s="6">
        <v>-9.1999999999999993</v>
      </c>
      <c r="V17" s="8">
        <v>0.29352218493799997</v>
      </c>
      <c r="W17" s="4">
        <v>3.6700800904860005</v>
      </c>
      <c r="X17" s="4">
        <v>1.564753408446</v>
      </c>
      <c r="Y17" s="6">
        <v>-6.92</v>
      </c>
    </row>
    <row r="18" spans="1:25" x14ac:dyDescent="0.3">
      <c r="A18" s="3" t="s">
        <v>123</v>
      </c>
      <c r="B18" s="8">
        <v>0.30304002977900002</v>
      </c>
      <c r="C18" s="4">
        <v>5.3272336631700004</v>
      </c>
      <c r="D18" s="4">
        <v>0</v>
      </c>
      <c r="E18" s="6">
        <v>-21</v>
      </c>
      <c r="F18" s="8">
        <v>0.29580124665500002</v>
      </c>
      <c r="G18" s="4">
        <v>2.8112591166400001</v>
      </c>
      <c r="H18" s="4">
        <v>1.4357688476499999</v>
      </c>
      <c r="I18" s="6">
        <v>-4.4000000000000004</v>
      </c>
      <c r="J18" s="8">
        <v>0.29716660317400001</v>
      </c>
      <c r="K18" s="4">
        <v>3.2858143269800002</v>
      </c>
      <c r="L18" s="4">
        <v>3.4896352567200002</v>
      </c>
      <c r="M18" s="6">
        <v>2.5</v>
      </c>
      <c r="N18" s="8">
        <v>0.29207877602100002</v>
      </c>
      <c r="O18" s="4">
        <v>1.5174447825899999</v>
      </c>
      <c r="P18" s="4">
        <v>1.1878030080699999</v>
      </c>
      <c r="Q18" s="6">
        <v>0.1</v>
      </c>
      <c r="R18" s="8">
        <v>0.30338911841900001</v>
      </c>
      <c r="S18" s="4">
        <v>5.4485659533100002</v>
      </c>
      <c r="T18" s="4">
        <v>3.0771912501099998</v>
      </c>
      <c r="U18" s="6">
        <v>-8.4</v>
      </c>
      <c r="V18" s="8">
        <v>0.29829515480960006</v>
      </c>
      <c r="W18" s="4">
        <v>3.6780635685380005</v>
      </c>
      <c r="X18" s="4">
        <v>1.8380796725099997</v>
      </c>
      <c r="Y18" s="6">
        <v>-6.24</v>
      </c>
    </row>
    <row r="19" spans="1:25" x14ac:dyDescent="0.3">
      <c r="A19" s="3" t="s">
        <v>127</v>
      </c>
      <c r="B19" s="8">
        <v>0.27258377389299998</v>
      </c>
      <c r="C19" s="4">
        <v>1.14286289623</v>
      </c>
      <c r="D19" s="4">
        <v>0</v>
      </c>
      <c r="E19" s="6">
        <v>-19.8</v>
      </c>
      <c r="F19" s="8">
        <v>0.26884378430599998</v>
      </c>
      <c r="G19" s="4">
        <v>-0.24486920743599999</v>
      </c>
      <c r="H19" s="4">
        <v>2.11480573427</v>
      </c>
      <c r="I19" s="6">
        <v>-4.4000000000000004</v>
      </c>
      <c r="J19" s="8">
        <v>0.26637900967700001</v>
      </c>
      <c r="K19" s="4">
        <v>-1.1594297437700001</v>
      </c>
      <c r="L19" s="4">
        <v>2.1451569969199999</v>
      </c>
      <c r="M19" s="6">
        <v>-0.2</v>
      </c>
      <c r="N19" s="8">
        <v>0.26791683248199999</v>
      </c>
      <c r="O19" s="4">
        <v>-0.58881690455400004</v>
      </c>
      <c r="P19" s="4">
        <v>2.7756590911400001</v>
      </c>
      <c r="Q19" s="6">
        <v>0.1</v>
      </c>
      <c r="R19" s="8">
        <v>0.27415741719300002</v>
      </c>
      <c r="S19" s="4">
        <v>1.7267670159099999</v>
      </c>
      <c r="T19" s="4">
        <v>3.1377097573200001</v>
      </c>
      <c r="U19" s="6">
        <v>-8.4</v>
      </c>
      <c r="V19" s="8">
        <v>0.26997616351019998</v>
      </c>
      <c r="W19" s="4">
        <v>0.17530281127599998</v>
      </c>
      <c r="X19" s="4">
        <v>2.03466631593</v>
      </c>
      <c r="Y19" s="6">
        <v>-6.5400000000000009</v>
      </c>
    </row>
    <row r="20" spans="1:25" x14ac:dyDescent="0.3">
      <c r="A20" s="3" t="s">
        <v>131</v>
      </c>
      <c r="B20" s="8">
        <v>0.29174270140000003</v>
      </c>
      <c r="C20" s="4">
        <v>5.1422889121199997</v>
      </c>
      <c r="D20" s="4">
        <v>0</v>
      </c>
      <c r="E20" s="6">
        <v>-19.8</v>
      </c>
      <c r="F20" s="8">
        <v>0.28477378001699999</v>
      </c>
      <c r="G20" s="4">
        <v>2.63073218109</v>
      </c>
      <c r="H20" s="4">
        <v>1.15188700699</v>
      </c>
      <c r="I20" s="6">
        <v>-4.4000000000000004</v>
      </c>
      <c r="J20" s="8">
        <v>0.28183829312600001</v>
      </c>
      <c r="K20" s="4">
        <v>1.57280062255</v>
      </c>
      <c r="L20" s="4">
        <v>1.0674626604099999</v>
      </c>
      <c r="M20" s="6">
        <v>-0.2</v>
      </c>
      <c r="N20" s="8">
        <v>0.28477378001699999</v>
      </c>
      <c r="O20" s="4">
        <v>2.63073218109</v>
      </c>
      <c r="P20" s="4">
        <v>2.1817864044199999</v>
      </c>
      <c r="Q20" s="6">
        <v>0.1</v>
      </c>
      <c r="R20" s="8">
        <v>0.290068119869</v>
      </c>
      <c r="S20" s="4">
        <v>4.5387799493500003</v>
      </c>
      <c r="T20" s="4">
        <v>2.08745236078</v>
      </c>
      <c r="U20" s="6">
        <v>-8.4</v>
      </c>
      <c r="V20" s="8">
        <v>0.28663933488580001</v>
      </c>
      <c r="W20" s="4">
        <v>3.30306676924</v>
      </c>
      <c r="X20" s="4">
        <v>1.29771768652</v>
      </c>
      <c r="Y20" s="6">
        <v>-6.5400000000000009</v>
      </c>
    </row>
    <row r="21" spans="1:25" x14ac:dyDescent="0.3">
      <c r="A21" s="3" t="s">
        <v>142</v>
      </c>
      <c r="B21" s="8">
        <v>0.29217466434977774</v>
      </c>
      <c r="C21" s="4">
        <v>3.7549302739449999</v>
      </c>
      <c r="D21" s="4">
        <v>0</v>
      </c>
      <c r="E21" s="6">
        <v>-20.427777777777777</v>
      </c>
      <c r="F21" s="8">
        <v>0.28550808963988894</v>
      </c>
      <c r="G21" s="4">
        <v>1.3904405059992775</v>
      </c>
      <c r="H21" s="4">
        <v>1.4191219196656111</v>
      </c>
      <c r="I21" s="6">
        <v>-4.2777777777777777</v>
      </c>
      <c r="J21" s="8">
        <v>0.28290900474188896</v>
      </c>
      <c r="K21" s="4">
        <v>0.46655516609994446</v>
      </c>
      <c r="L21" s="4">
        <v>1.4944282456816111</v>
      </c>
      <c r="M21" s="6">
        <v>9.4444444444444442E-2</v>
      </c>
      <c r="N21" s="8">
        <v>0.28480836929250003</v>
      </c>
      <c r="O21" s="4">
        <v>1.142792895098611</v>
      </c>
      <c r="P21" s="4">
        <v>2.0387997687135004</v>
      </c>
      <c r="Q21" s="6">
        <v>-0.44999999999999996</v>
      </c>
      <c r="R21" s="8">
        <v>0.29230723222755556</v>
      </c>
      <c r="S21" s="4">
        <v>3.8063923394438888</v>
      </c>
      <c r="T21" s="4">
        <v>2.036560777788611</v>
      </c>
      <c r="U21" s="6">
        <v>-11.816666666666666</v>
      </c>
      <c r="V21" s="8">
        <v>0.28754147205032232</v>
      </c>
      <c r="W21" s="4">
        <v>2.1122222361173444</v>
      </c>
      <c r="X21" s="4">
        <v>1.3977821423698669</v>
      </c>
      <c r="Y21" s="6">
        <v>-7.3755555555555548</v>
      </c>
    </row>
  </sheetData>
  <conditionalFormatting pivot="1" sqref="C3:D21 G3:H21 K3:L21 O3:P21 S3:T21 W3:X21">
    <cfRule type="cellIs" dxfId="438" priority="2" operator="greaterThan">
      <formula>5</formula>
    </cfRule>
  </conditionalFormatting>
  <conditionalFormatting pivot="1" sqref="C3:D21 G3:H21 K3:L21 O3:P21 S3:T21 W3:X21">
    <cfRule type="cellIs" dxfId="437" priority="1" operator="lessThan">
      <formula>-5</formula>
    </cfRule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>
      <selection activeCell="H1" sqref="H1"/>
    </sheetView>
  </sheetViews>
  <sheetFormatPr defaultRowHeight="14.4" x14ac:dyDescent="0.3"/>
  <cols>
    <col min="1" max="1" width="7.5546875" customWidth="1"/>
    <col min="2" max="2" width="6.5546875" style="5" customWidth="1"/>
    <col min="3" max="5" width="5" style="6" customWidth="1"/>
    <col min="6" max="6" width="7" style="6" customWidth="1"/>
    <col min="7" max="7" width="8.5546875" style="7" customWidth="1"/>
    <col min="8" max="8" width="6.5546875" style="8" customWidth="1"/>
    <col min="9" max="9" width="7.77734375" style="8" bestFit="1" customWidth="1"/>
    <col min="10" max="11" width="7.77734375" bestFit="1" customWidth="1"/>
    <col min="12" max="12" width="7.77734375" customWidth="1"/>
    <col min="13" max="21" width="7.77734375" bestFit="1" customWidth="1"/>
    <col min="22" max="33" width="8.77734375" bestFit="1" customWidth="1"/>
  </cols>
  <sheetData>
    <row r="1" spans="1:33" x14ac:dyDescent="0.3">
      <c r="A1" s="1" t="s">
        <v>1</v>
      </c>
      <c r="B1" s="5" t="s">
        <v>18</v>
      </c>
      <c r="C1" s="6" t="s">
        <v>19</v>
      </c>
      <c r="D1" s="6" t="s">
        <v>20</v>
      </c>
      <c r="E1" s="6" t="s">
        <v>21</v>
      </c>
      <c r="F1" s="6" t="s">
        <v>40</v>
      </c>
      <c r="G1" s="7" t="s">
        <v>44</v>
      </c>
      <c r="H1" s="8" t="s">
        <v>45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3">
      <c r="A2" s="1" t="s">
        <v>144</v>
      </c>
      <c r="B2" s="6">
        <v>629</v>
      </c>
      <c r="C2" s="6">
        <v>3600</v>
      </c>
      <c r="D2" s="6">
        <v>6300</v>
      </c>
      <c r="E2" s="6">
        <v>6300</v>
      </c>
      <c r="F2" s="6">
        <v>697837</v>
      </c>
      <c r="G2" s="7">
        <v>3.5609999999999999E-3</v>
      </c>
      <c r="H2" s="8">
        <v>0.29020000000000001</v>
      </c>
      <c r="J2" s="6"/>
      <c r="K2" s="7"/>
      <c r="L2" s="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3">
      <c r="A3" s="1" t="s">
        <v>60</v>
      </c>
      <c r="B3" s="5">
        <v>618.29999999999995</v>
      </c>
      <c r="C3" s="6">
        <v>3754</v>
      </c>
      <c r="D3" s="6">
        <v>6132</v>
      </c>
      <c r="E3" s="6">
        <v>6132</v>
      </c>
      <c r="F3" s="6">
        <v>697350</v>
      </c>
      <c r="G3" s="7">
        <v>3.7190000000000001E-3</v>
      </c>
      <c r="H3" s="8">
        <v>0.27789999999999998</v>
      </c>
      <c r="J3" s="6"/>
      <c r="K3" s="7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3">
      <c r="A4" s="1" t="s">
        <v>67</v>
      </c>
      <c r="B4" s="5">
        <v>605.91999999999996</v>
      </c>
      <c r="C4" s="6">
        <v>3729</v>
      </c>
      <c r="D4" s="6">
        <v>5971</v>
      </c>
      <c r="E4" s="6">
        <v>5971</v>
      </c>
      <c r="F4" s="6">
        <v>696864</v>
      </c>
      <c r="G4" s="7">
        <v>3.8270000000000001E-3</v>
      </c>
      <c r="H4" s="8">
        <v>0.27</v>
      </c>
      <c r="J4" s="6"/>
      <c r="K4" s="7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3">
      <c r="A5" s="1" t="s">
        <v>71</v>
      </c>
      <c r="B5" s="5">
        <v>613.32000000000005</v>
      </c>
      <c r="C5" s="6">
        <v>3831</v>
      </c>
      <c r="D5" s="6">
        <v>6158</v>
      </c>
      <c r="E5" s="6">
        <v>6158</v>
      </c>
      <c r="F5" s="6">
        <v>696864</v>
      </c>
      <c r="G5" s="7">
        <v>3.7750000000000001E-3</v>
      </c>
      <c r="H5" s="8">
        <v>0.2737</v>
      </c>
      <c r="J5" s="6"/>
      <c r="K5" s="7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3">
      <c r="A6" s="1" t="s">
        <v>75</v>
      </c>
      <c r="B6" s="5">
        <v>607.6</v>
      </c>
      <c r="C6" s="6">
        <v>3764</v>
      </c>
      <c r="D6" s="6">
        <v>5910</v>
      </c>
      <c r="E6" s="6">
        <v>5910</v>
      </c>
      <c r="F6" s="6">
        <v>696864</v>
      </c>
      <c r="G6" s="7">
        <v>3.846E-3</v>
      </c>
      <c r="H6" s="8">
        <v>0.26869999999999999</v>
      </c>
      <c r="J6" s="6"/>
      <c r="K6" s="7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3">
      <c r="A7" s="1" t="s">
        <v>79</v>
      </c>
      <c r="B7" s="5">
        <v>619.12</v>
      </c>
      <c r="C7" s="6">
        <v>3646</v>
      </c>
      <c r="D7" s="6">
        <v>6239</v>
      </c>
      <c r="E7" s="6">
        <v>6239</v>
      </c>
      <c r="F7" s="6">
        <v>697107</v>
      </c>
      <c r="G7" s="7">
        <v>3.6519999999999999E-3</v>
      </c>
      <c r="H7" s="8">
        <v>0.28299999999999997</v>
      </c>
      <c r="J7" s="6"/>
      <c r="K7" s="7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3">
      <c r="A8" s="1" t="s">
        <v>83</v>
      </c>
      <c r="B8" s="5">
        <v>620.79</v>
      </c>
      <c r="C8" s="6">
        <v>3746</v>
      </c>
      <c r="D8" s="6">
        <v>6277</v>
      </c>
      <c r="E8" s="6">
        <v>6277</v>
      </c>
      <c r="F8" s="6">
        <v>697107</v>
      </c>
      <c r="G8" s="7">
        <v>3.6700000000000001E-3</v>
      </c>
      <c r="H8" s="8">
        <v>0.28160000000000002</v>
      </c>
      <c r="J8" s="6"/>
      <c r="K8" s="7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3">
      <c r="A9" s="1" t="s">
        <v>87</v>
      </c>
      <c r="B9" s="5">
        <v>639.15</v>
      </c>
      <c r="C9" s="6">
        <v>3957</v>
      </c>
      <c r="D9" s="6">
        <v>6665</v>
      </c>
      <c r="E9" s="6">
        <v>6665</v>
      </c>
      <c r="F9" s="6">
        <v>697107</v>
      </c>
      <c r="G9" s="7">
        <v>3.558E-3</v>
      </c>
      <c r="H9" s="8">
        <v>0.29049999999999998</v>
      </c>
      <c r="J9" s="6"/>
      <c r="K9" s="7"/>
      <c r="L9" s="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3">
      <c r="A10" s="1" t="s">
        <v>91</v>
      </c>
      <c r="B10" s="5">
        <v>621.46</v>
      </c>
      <c r="C10" s="6">
        <v>3761</v>
      </c>
      <c r="D10" s="6">
        <v>6296</v>
      </c>
      <c r="E10" s="6">
        <v>6296</v>
      </c>
      <c r="F10" s="6">
        <v>696136</v>
      </c>
      <c r="G10" s="7">
        <v>3.673E-3</v>
      </c>
      <c r="H10" s="8">
        <v>0.28139999999999998</v>
      </c>
      <c r="J10" s="6"/>
      <c r="K10" s="7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3">
      <c r="A11" s="1" t="s">
        <v>95</v>
      </c>
      <c r="B11" s="5">
        <v>601.74</v>
      </c>
      <c r="C11" s="6">
        <v>3754</v>
      </c>
      <c r="D11" s="6">
        <v>5886</v>
      </c>
      <c r="E11" s="6">
        <v>5886</v>
      </c>
      <c r="F11" s="6">
        <v>698080</v>
      </c>
      <c r="G11" s="7">
        <v>3.8779999999999999E-3</v>
      </c>
      <c r="H11" s="8">
        <v>0.26650000000000001</v>
      </c>
      <c r="J11" s="6"/>
      <c r="K11" s="7"/>
      <c r="L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3">
      <c r="A12" s="1" t="s">
        <v>99</v>
      </c>
      <c r="B12" s="5">
        <v>619.20000000000005</v>
      </c>
      <c r="C12" s="6">
        <v>3774</v>
      </c>
      <c r="D12" s="6">
        <v>6249</v>
      </c>
      <c r="E12" s="6">
        <v>6249</v>
      </c>
      <c r="F12" s="6">
        <v>697593</v>
      </c>
      <c r="G12" s="7">
        <v>3.6939999999999998E-3</v>
      </c>
      <c r="H12" s="8">
        <v>0.27979999999999999</v>
      </c>
      <c r="J12" s="6"/>
      <c r="K12" s="7"/>
      <c r="L12" s="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3">
      <c r="A13" s="1" t="s">
        <v>103</v>
      </c>
      <c r="B13" s="5">
        <v>628.26</v>
      </c>
      <c r="C13" s="6">
        <v>3591</v>
      </c>
      <c r="D13" s="6">
        <v>6355</v>
      </c>
      <c r="E13" s="6">
        <v>6355</v>
      </c>
      <c r="F13" s="6">
        <v>697593</v>
      </c>
      <c r="G13" s="7">
        <v>3.552E-3</v>
      </c>
      <c r="H13" s="8">
        <v>0.29089999999999999</v>
      </c>
      <c r="J13" s="6"/>
      <c r="K13" s="7"/>
      <c r="L13" s="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3">
      <c r="A14" s="1" t="s">
        <v>107</v>
      </c>
      <c r="B14" s="5">
        <v>619.91999999999996</v>
      </c>
      <c r="C14" s="6">
        <v>3790</v>
      </c>
      <c r="D14" s="6">
        <v>6255</v>
      </c>
      <c r="E14" s="6">
        <v>6255</v>
      </c>
      <c r="F14" s="6">
        <v>697593</v>
      </c>
      <c r="G14" s="7">
        <v>3.6939999999999998E-3</v>
      </c>
      <c r="H14" s="8">
        <v>0.27979999999999999</v>
      </c>
      <c r="J14" s="6"/>
      <c r="K14" s="7"/>
      <c r="L14" s="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3">
      <c r="A15" s="1" t="s">
        <v>111</v>
      </c>
      <c r="B15" s="5">
        <v>626.6</v>
      </c>
      <c r="C15" s="6">
        <v>3619</v>
      </c>
      <c r="D15" s="6">
        <v>6407</v>
      </c>
      <c r="E15" s="6">
        <v>6407</v>
      </c>
      <c r="F15" s="6">
        <v>698324</v>
      </c>
      <c r="G15" s="7">
        <v>3.5569999999999998E-3</v>
      </c>
      <c r="H15" s="8">
        <v>0.29049999999999998</v>
      </c>
      <c r="J15" s="6"/>
      <c r="K15" s="7"/>
      <c r="L15" s="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3">
      <c r="A16" s="1" t="s">
        <v>115</v>
      </c>
      <c r="B16" s="5">
        <v>615.83000000000004</v>
      </c>
      <c r="C16" s="6">
        <v>3762</v>
      </c>
      <c r="D16" s="6">
        <v>6164</v>
      </c>
      <c r="E16" s="6">
        <v>6164</v>
      </c>
      <c r="F16" s="6">
        <v>697107</v>
      </c>
      <c r="G16" s="7">
        <v>3.7309999999999999E-3</v>
      </c>
      <c r="H16" s="8">
        <v>0.27700000000000002</v>
      </c>
      <c r="J16" s="6"/>
      <c r="K16" s="7"/>
      <c r="L16" s="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3">
      <c r="A17" s="1" t="s">
        <v>119</v>
      </c>
      <c r="B17" s="5">
        <v>616.95000000000005</v>
      </c>
      <c r="C17" s="6">
        <v>3661</v>
      </c>
      <c r="D17" s="6">
        <v>6211</v>
      </c>
      <c r="E17" s="6">
        <v>6211</v>
      </c>
      <c r="F17" s="6">
        <v>695652</v>
      </c>
      <c r="G17" s="7">
        <v>3.6840000000000002E-3</v>
      </c>
      <c r="H17" s="8">
        <v>0.28050000000000003</v>
      </c>
      <c r="J17" s="6"/>
      <c r="K17" s="7"/>
      <c r="L17" s="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x14ac:dyDescent="0.3">
      <c r="A18" s="1" t="s">
        <v>123</v>
      </c>
      <c r="B18" s="5">
        <v>618.86</v>
      </c>
      <c r="C18" s="6">
        <v>3577</v>
      </c>
      <c r="D18" s="6">
        <v>6252</v>
      </c>
      <c r="E18" s="6">
        <v>6252</v>
      </c>
      <c r="F18" s="6">
        <v>697837</v>
      </c>
      <c r="G18" s="7">
        <v>3.6210000000000001E-3</v>
      </c>
      <c r="H18" s="8">
        <v>0.28539999999999999</v>
      </c>
      <c r="J18" s="6"/>
      <c r="K18" s="7"/>
      <c r="L18" s="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x14ac:dyDescent="0.3">
      <c r="A19" s="1" t="s">
        <v>127</v>
      </c>
      <c r="B19" s="5">
        <v>600.25</v>
      </c>
      <c r="C19" s="6">
        <v>3720</v>
      </c>
      <c r="D19" s="6">
        <v>5860</v>
      </c>
      <c r="E19" s="6">
        <v>5860</v>
      </c>
      <c r="F19" s="6">
        <v>698080</v>
      </c>
      <c r="G19" s="7">
        <v>3.8809999999999999E-3</v>
      </c>
      <c r="H19" s="8">
        <v>0.26629999999999998</v>
      </c>
      <c r="J19" s="6"/>
      <c r="K19" s="7"/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3">
      <c r="A20" s="1" t="s">
        <v>131</v>
      </c>
      <c r="B20" s="5">
        <v>609.74</v>
      </c>
      <c r="C20" s="6">
        <v>3688</v>
      </c>
      <c r="D20" s="6">
        <v>6046</v>
      </c>
      <c r="E20" s="6">
        <v>6046</v>
      </c>
      <c r="F20" s="6">
        <v>697837</v>
      </c>
      <c r="G20" s="7">
        <v>3.764E-3</v>
      </c>
      <c r="H20" s="8">
        <v>0.27460000000000001</v>
      </c>
      <c r="J20" s="6"/>
      <c r="K20" s="7"/>
      <c r="L20" s="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3">
      <c r="A21" s="1" t="s">
        <v>163</v>
      </c>
      <c r="B21" s="5">
        <v>621</v>
      </c>
      <c r="C21" s="6">
        <v>3760</v>
      </c>
      <c r="D21" s="6">
        <v>6225</v>
      </c>
      <c r="E21" s="6">
        <v>6225</v>
      </c>
      <c r="F21" s="6">
        <v>698324</v>
      </c>
      <c r="G21" s="7">
        <v>3.679E-3</v>
      </c>
      <c r="H21" s="8">
        <v>0.28089999999999998</v>
      </c>
      <c r="J21" s="6"/>
      <c r="K21" s="7"/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/>
  </sheetViews>
  <sheetFormatPr defaultRowHeight="14.4" x14ac:dyDescent="0.3"/>
  <cols>
    <col min="1" max="1" width="14.109375" bestFit="1" customWidth="1"/>
    <col min="2" max="2" width="11.21875" bestFit="1" customWidth="1"/>
    <col min="3" max="4" width="12.33203125" bestFit="1" customWidth="1"/>
    <col min="5" max="12" width="10.77734375" bestFit="1" customWidth="1"/>
  </cols>
  <sheetData>
    <row r="1" spans="1:12" x14ac:dyDescent="0.3">
      <c r="A1" s="1" t="s">
        <v>1</v>
      </c>
      <c r="B1" s="1" t="s">
        <v>17</v>
      </c>
      <c r="C1" s="1" t="s">
        <v>28</v>
      </c>
      <c r="D1" s="1" t="s">
        <v>33</v>
      </c>
      <c r="E1" s="1"/>
      <c r="F1" s="1"/>
      <c r="G1" s="1"/>
      <c r="H1" s="1"/>
      <c r="I1" s="1"/>
      <c r="J1" s="1"/>
      <c r="K1" s="1"/>
      <c r="L1" s="1"/>
    </row>
    <row r="2" spans="1:12" x14ac:dyDescent="0.3">
      <c r="A2" s="1" t="s">
        <v>144</v>
      </c>
      <c r="B2" s="1" t="s">
        <v>144</v>
      </c>
      <c r="C2" s="1" t="s">
        <v>144</v>
      </c>
      <c r="D2" s="1" t="s">
        <v>144</v>
      </c>
      <c r="E2" s="1"/>
      <c r="F2" s="1"/>
      <c r="G2" s="1"/>
      <c r="H2" s="1"/>
      <c r="I2" s="1"/>
      <c r="J2" s="1"/>
      <c r="K2" s="1"/>
      <c r="L2" s="1"/>
    </row>
    <row r="3" spans="1:12" x14ac:dyDescent="0.3">
      <c r="A3" s="1" t="s">
        <v>60</v>
      </c>
      <c r="B3" s="1" t="s">
        <v>145</v>
      </c>
      <c r="C3" s="1" t="s">
        <v>64</v>
      </c>
      <c r="D3" s="1" t="s">
        <v>66</v>
      </c>
      <c r="E3" s="1"/>
      <c r="F3" s="1"/>
      <c r="G3" s="1"/>
      <c r="H3" s="1"/>
      <c r="I3" s="1"/>
      <c r="J3" s="1"/>
      <c r="K3" s="1"/>
      <c r="L3" s="1"/>
    </row>
    <row r="4" spans="1:12" x14ac:dyDescent="0.3">
      <c r="A4" s="1" t="s">
        <v>67</v>
      </c>
      <c r="B4" s="1" t="s">
        <v>146</v>
      </c>
      <c r="C4" s="1" t="s">
        <v>69</v>
      </c>
      <c r="D4" s="1" t="s">
        <v>70</v>
      </c>
      <c r="E4" s="1"/>
      <c r="F4" s="1"/>
      <c r="G4" s="1"/>
      <c r="H4" s="1"/>
      <c r="I4" s="1"/>
      <c r="J4" s="1"/>
      <c r="K4" s="1"/>
      <c r="L4" s="1"/>
    </row>
    <row r="5" spans="1:12" x14ac:dyDescent="0.3">
      <c r="A5" s="1" t="s">
        <v>71</v>
      </c>
      <c r="B5" s="1" t="s">
        <v>147</v>
      </c>
      <c r="C5" s="1" t="s">
        <v>73</v>
      </c>
      <c r="D5" s="1" t="s">
        <v>74</v>
      </c>
      <c r="E5" s="1"/>
      <c r="F5" s="1"/>
      <c r="G5" s="1"/>
      <c r="H5" s="1"/>
      <c r="I5" s="1"/>
      <c r="J5" s="1"/>
      <c r="K5" s="1"/>
      <c r="L5" s="1"/>
    </row>
    <row r="6" spans="1:12" x14ac:dyDescent="0.3">
      <c r="A6" s="1" t="s">
        <v>75</v>
      </c>
      <c r="B6" s="1" t="s">
        <v>148</v>
      </c>
      <c r="C6" s="1" t="s">
        <v>77</v>
      </c>
      <c r="D6" s="1" t="s">
        <v>78</v>
      </c>
      <c r="E6" s="1"/>
      <c r="F6" s="1"/>
      <c r="G6" s="1"/>
      <c r="H6" s="1"/>
      <c r="I6" s="1"/>
      <c r="J6" s="1"/>
      <c r="K6" s="1"/>
      <c r="L6" s="1"/>
    </row>
    <row r="7" spans="1:12" x14ac:dyDescent="0.3">
      <c r="A7" s="1" t="s">
        <v>79</v>
      </c>
      <c r="B7" s="1" t="s">
        <v>149</v>
      </c>
      <c r="C7" s="1" t="s">
        <v>81</v>
      </c>
      <c r="D7" s="1" t="s">
        <v>82</v>
      </c>
      <c r="E7" s="1"/>
      <c r="F7" s="1"/>
      <c r="G7" s="1"/>
      <c r="H7" s="1"/>
      <c r="I7" s="1"/>
      <c r="J7" s="1"/>
      <c r="K7" s="1"/>
      <c r="L7" s="1"/>
    </row>
    <row r="8" spans="1:12" x14ac:dyDescent="0.3">
      <c r="A8" s="1" t="s">
        <v>83</v>
      </c>
      <c r="B8" s="1" t="s">
        <v>150</v>
      </c>
      <c r="C8" s="1" t="s">
        <v>85</v>
      </c>
      <c r="D8" s="1" t="s">
        <v>86</v>
      </c>
      <c r="E8" s="1"/>
      <c r="F8" s="1"/>
      <c r="G8" s="1"/>
      <c r="H8" s="1"/>
      <c r="I8" s="1"/>
      <c r="J8" s="1"/>
      <c r="K8" s="1"/>
      <c r="L8" s="1"/>
    </row>
    <row r="9" spans="1:12" x14ac:dyDescent="0.3">
      <c r="A9" s="1" t="s">
        <v>87</v>
      </c>
      <c r="B9" s="1" t="s">
        <v>151</v>
      </c>
      <c r="C9" s="1" t="s">
        <v>89</v>
      </c>
      <c r="D9" s="1" t="s">
        <v>90</v>
      </c>
      <c r="E9" s="1"/>
      <c r="F9" s="1"/>
      <c r="G9" s="1"/>
      <c r="H9" s="1"/>
      <c r="I9" s="1"/>
      <c r="J9" s="1"/>
      <c r="K9" s="1"/>
      <c r="L9" s="1"/>
    </row>
    <row r="10" spans="1:12" x14ac:dyDescent="0.3">
      <c r="A10" s="1" t="s">
        <v>91</v>
      </c>
      <c r="B10" s="1" t="s">
        <v>152</v>
      </c>
      <c r="C10" s="1" t="s">
        <v>93</v>
      </c>
      <c r="D10" s="1" t="s">
        <v>94</v>
      </c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 t="s">
        <v>95</v>
      </c>
      <c r="B11" s="1" t="s">
        <v>153</v>
      </c>
      <c r="C11" s="1" t="s">
        <v>97</v>
      </c>
      <c r="D11" s="1" t="s">
        <v>98</v>
      </c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 t="s">
        <v>99</v>
      </c>
      <c r="B12" s="1" t="s">
        <v>154</v>
      </c>
      <c r="C12" s="1" t="s">
        <v>101</v>
      </c>
      <c r="D12" s="1" t="s">
        <v>102</v>
      </c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 t="s">
        <v>103</v>
      </c>
      <c r="B13" s="1" t="s">
        <v>155</v>
      </c>
      <c r="C13" s="1" t="s">
        <v>105</v>
      </c>
      <c r="D13" s="1" t="s">
        <v>106</v>
      </c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 t="s">
        <v>107</v>
      </c>
      <c r="B14" s="1" t="s">
        <v>156</v>
      </c>
      <c r="C14" s="1" t="s">
        <v>109</v>
      </c>
      <c r="D14" s="1" t="s">
        <v>110</v>
      </c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 t="s">
        <v>111</v>
      </c>
      <c r="B15" s="1" t="s">
        <v>157</v>
      </c>
      <c r="C15" s="1" t="s">
        <v>113</v>
      </c>
      <c r="D15" s="1" t="s">
        <v>114</v>
      </c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 t="s">
        <v>115</v>
      </c>
      <c r="B16" s="1" t="s">
        <v>158</v>
      </c>
      <c r="C16" s="1" t="s">
        <v>117</v>
      </c>
      <c r="D16" s="1" t="s">
        <v>118</v>
      </c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 t="s">
        <v>119</v>
      </c>
      <c r="B17" s="1" t="s">
        <v>159</v>
      </c>
      <c r="C17" s="1" t="s">
        <v>121</v>
      </c>
      <c r="D17" s="1" t="s">
        <v>122</v>
      </c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 t="s">
        <v>123</v>
      </c>
      <c r="B18" s="1" t="s">
        <v>160</v>
      </c>
      <c r="C18" s="1" t="s">
        <v>125</v>
      </c>
      <c r="D18" s="1" t="s">
        <v>126</v>
      </c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 t="s">
        <v>127</v>
      </c>
      <c r="B19" s="1" t="s">
        <v>161</v>
      </c>
      <c r="C19" s="1" t="s">
        <v>129</v>
      </c>
      <c r="D19" s="1" t="s">
        <v>130</v>
      </c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 t="s">
        <v>131</v>
      </c>
      <c r="B20" s="1" t="s">
        <v>162</v>
      </c>
      <c r="C20" s="1" t="s">
        <v>133</v>
      </c>
      <c r="D20" s="1" t="s">
        <v>134</v>
      </c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 t="s">
        <v>163</v>
      </c>
      <c r="B21" s="1" t="s">
        <v>164</v>
      </c>
      <c r="C21" s="1" t="s">
        <v>143</v>
      </c>
      <c r="D21" s="1" t="s">
        <v>165</v>
      </c>
      <c r="E21" s="1"/>
      <c r="F21" s="1"/>
      <c r="G21" s="1"/>
      <c r="H21" s="1"/>
      <c r="I21" s="1"/>
      <c r="J21" s="1"/>
      <c r="K21" s="1"/>
      <c r="L2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88C984-B952-4EBE-909E-46ED1F7D82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reprocess</vt:lpstr>
      <vt:lpstr>reprocess_temperatures</vt:lpstr>
      <vt:lpstr>manufacturer data</vt:lpstr>
      <vt:lpstr>station IDs</vt:lpstr>
    </vt:vector>
  </TitlesOfParts>
  <Company>NRCan  / 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Ackerley, Nicholas</dc:creator>
  <cp:lastModifiedBy>Ackerley, Nicholas</cp:lastModifiedBy>
  <dcterms:created xsi:type="dcterms:W3CDTF">2020-02-26T19:33:54Z</dcterms:created>
  <dcterms:modified xsi:type="dcterms:W3CDTF">2020-11-17T15:00:20Z</dcterms:modified>
</cp:coreProperties>
</file>