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chartsheets/sheet3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ckerle\Downloads\"/>
    </mc:Choice>
  </mc:AlternateContent>
  <xr:revisionPtr revIDLastSave="0" documentId="13_ncr:40009_{F8D73576-5B76-4A19-A4F1-1525F2D5BB20}" xr6:coauthVersionLast="47" xr6:coauthVersionMax="47" xr10:uidLastSave="{00000000-0000-0000-0000-000000000000}"/>
  <bookViews>
    <workbookView xWindow="28680" yWindow="-120" windowWidth="29040" windowHeight="15990" activeTab="4"/>
  </bookViews>
  <sheets>
    <sheet name="calibration_analyzer" sheetId="1" r:id="rId1"/>
    <sheet name="Lower Corner" sheetId="3" r:id="rId2"/>
    <sheet name="Gain Upper" sheetId="4" r:id="rId3"/>
    <sheet name="All Percent" sheetId="5" r:id="rId4"/>
    <sheet name="Summary" sheetId="6" r:id="rId5"/>
    <sheet name="Data" sheetId="2" r:id="rId6"/>
  </sheets>
  <definedNames>
    <definedName name="_xlnm._FilterDatabase" localSheetId="5" hidden="1">Data!$A$2:$AD$23</definedName>
  </definedNames>
  <calcPr calcId="0"/>
</workbook>
</file>

<file path=xl/calcChain.xml><?xml version="1.0" encoding="utf-8"?>
<calcChain xmlns="http://schemas.openxmlformats.org/spreadsheetml/2006/main">
  <c r="AH25" i="2" l="1"/>
  <c r="AG25" i="2"/>
  <c r="AF25" i="2"/>
  <c r="AE25" i="2"/>
  <c r="AH24" i="2"/>
  <c r="AG24" i="2"/>
  <c r="AF24" i="2"/>
  <c r="AE24" i="2"/>
  <c r="AH23" i="2"/>
  <c r="AG23" i="2"/>
  <c r="AF23" i="2"/>
  <c r="AE23" i="2"/>
  <c r="AH22" i="2"/>
  <c r="AG22" i="2"/>
  <c r="AF22" i="2"/>
  <c r="AE22" i="2"/>
  <c r="AH21" i="2"/>
  <c r="AG21" i="2"/>
  <c r="AF21" i="2"/>
  <c r="AE21" i="2"/>
  <c r="AH20" i="2"/>
  <c r="AG20" i="2"/>
  <c r="AF20" i="2"/>
  <c r="AE20" i="2"/>
  <c r="AH19" i="2"/>
  <c r="AG19" i="2"/>
  <c r="AF19" i="2"/>
  <c r="AE19" i="2"/>
  <c r="AH18" i="2"/>
  <c r="AG18" i="2"/>
  <c r="AF18" i="2"/>
  <c r="AE18" i="2"/>
  <c r="AH17" i="2"/>
  <c r="AG17" i="2"/>
  <c r="AF17" i="2"/>
  <c r="AE17" i="2"/>
  <c r="AH16" i="2"/>
  <c r="AG16" i="2"/>
  <c r="AF16" i="2"/>
  <c r="AE16" i="2"/>
  <c r="AH15" i="2"/>
  <c r="AG15" i="2"/>
  <c r="AF15" i="2"/>
  <c r="AE15" i="2"/>
  <c r="AH14" i="2"/>
  <c r="AG14" i="2"/>
  <c r="AF14" i="2"/>
  <c r="AE14" i="2"/>
  <c r="AH13" i="2"/>
  <c r="AG13" i="2"/>
  <c r="AF13" i="2"/>
  <c r="AE13" i="2"/>
  <c r="AH12" i="2"/>
  <c r="AG12" i="2"/>
  <c r="AF12" i="2"/>
  <c r="AE12" i="2"/>
  <c r="AH11" i="2"/>
  <c r="AG11" i="2"/>
  <c r="AF11" i="2"/>
  <c r="AE11" i="2"/>
  <c r="AH10" i="2"/>
  <c r="AG10" i="2"/>
  <c r="AF10" i="2"/>
  <c r="AE10" i="2"/>
  <c r="AH9" i="2"/>
  <c r="AG9" i="2"/>
  <c r="AF9" i="2"/>
  <c r="AE9" i="2"/>
  <c r="AH8" i="2"/>
  <c r="AG8" i="2"/>
  <c r="AF8" i="2"/>
  <c r="AE8" i="2"/>
  <c r="AH7" i="2"/>
  <c r="AG7" i="2"/>
  <c r="AF7" i="2"/>
  <c r="AE7" i="2"/>
  <c r="AH6" i="2"/>
  <c r="AG6" i="2"/>
  <c r="AF6" i="2"/>
  <c r="AE6" i="2"/>
  <c r="AH5" i="2"/>
  <c r="AG5" i="2"/>
  <c r="AF5" i="2"/>
  <c r="AE5" i="2"/>
  <c r="AH4" i="2"/>
  <c r="AG4" i="2"/>
  <c r="AF4" i="2"/>
  <c r="AE4" i="2"/>
  <c r="AH3" i="2"/>
  <c r="AG3" i="2"/>
  <c r="AF3" i="2"/>
  <c r="AE3" i="2"/>
</calcChain>
</file>

<file path=xl/sharedStrings.xml><?xml version="1.0" encoding="utf-8"?>
<sst xmlns="http://schemas.openxmlformats.org/spreadsheetml/2006/main" count="376" uniqueCount="45">
  <si>
    <t>type</t>
  </si>
  <si>
    <t>subtype</t>
  </si>
  <si>
    <t>info</t>
  </si>
  <si>
    <t>start</t>
  </si>
  <si>
    <t>trace_id</t>
  </si>
  <si>
    <t>XX.YKAT1..SHZ</t>
  </si>
  <si>
    <t>XX.YKAT1..SHC</t>
  </si>
  <si>
    <t>response_file</t>
  </si>
  <si>
    <t>XX.YKAT1.xml</t>
  </si>
  <si>
    <t>delay_start</t>
  </si>
  <si>
    <t>spec_min_freq_hz</t>
  </si>
  <si>
    <t>spec_max_freq_hz</t>
  </si>
  <si>
    <t>spec_max_amp_pct</t>
  </si>
  <si>
    <t>spec_max_phase_deg</t>
  </si>
  <si>
    <t>gain_in_spec</t>
  </si>
  <si>
    <t>phase_in_spec</t>
  </si>
  <si>
    <t>duration_s</t>
  </si>
  <si>
    <t>pre_s</t>
  </si>
  <si>
    <t>post_s</t>
  </si>
  <si>
    <t>sampling_rate_sps</t>
  </si>
  <si>
    <t>windows</t>
  </si>
  <si>
    <t>timing error estimate [s]</t>
  </si>
  <si>
    <t>timing error uncertainty [s]</t>
  </si>
  <si>
    <t>gain error estimate [%]</t>
  </si>
  <si>
    <t>gain error uncertainty [%]</t>
  </si>
  <si>
    <t>confidence [%]</t>
  </si>
  <si>
    <t>output_units</t>
  </si>
  <si>
    <t>V</t>
  </si>
  <si>
    <t>input_units</t>
  </si>
  <si>
    <t>m/s</t>
  </si>
  <si>
    <t>station_tools</t>
  </si>
  <si>
    <t>1.2.5</t>
  </si>
  <si>
    <t>pole_01</t>
  </si>
  <si>
    <t>real_rad</t>
  </si>
  <si>
    <t>imag_rad</t>
  </si>
  <si>
    <t>freq_hz</t>
  </si>
  <si>
    <t>damping</t>
  </si>
  <si>
    <t>pole_2</t>
  </si>
  <si>
    <t>zero_0</t>
  </si>
  <si>
    <t>zero_1</t>
  </si>
  <si>
    <t>f_norm</t>
  </si>
  <si>
    <t>hz</t>
  </si>
  <si>
    <t>sensitivity</t>
  </si>
  <si>
    <t>V/(m/s)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</si>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</sst>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0.0000"/>
    <numFmt numFmtId="166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22" fontId="0" fillId="0" borderId="0" xfId="0" applyNumberFormat="1"/>
    <xf numFmtId="47" fontId="0" fillId="0" borderId="0" xfId="0" applyNumberFormat="1"/>
    <xf numFmtId="11" fontId="0" fillId="0" borderId="0" xfId="0" applyNumberFormat="1"/>
    <xf numFmtId="0" fontId="0" fillId="0" borderId="0" xfId="0" applyAlignment="1">
      <alignment horizontal="left" textRotation="90"/>
    </xf>
    <xf numFmtId="22" fontId="0" fillId="0" borderId="0" xfId="0" applyNumberFormat="1" applyAlignment="1">
      <alignment horizontal="left" textRotation="90"/>
    </xf>
    <xf numFmtId="2" fontId="0" fillId="0" borderId="0" xfId="0" applyNumberFormat="1"/>
    <xf numFmtId="2" fontId="0" fillId="0" borderId="0" xfId="0" applyNumberFormat="1" applyAlignment="1">
      <alignment horizontal="left" textRotation="90"/>
    </xf>
    <xf numFmtId="165" fontId="0" fillId="0" borderId="0" xfId="0" applyNumberFormat="1"/>
    <xf numFmtId="165" fontId="0" fillId="0" borderId="0" xfId="0" applyNumberFormat="1" applyAlignment="1">
      <alignment horizontal="left" textRotation="90"/>
    </xf>
    <xf numFmtId="166" fontId="0" fillId="0" borderId="0" xfId="0" applyNumberFormat="1"/>
    <xf numFmtId="166" fontId="0" fillId="0" borderId="0" xfId="0" applyNumberFormat="1" applyAlignment="1">
      <alignment horizontal="left" textRotation="90"/>
    </xf>
    <xf numFmtId="166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5" Type="http://schemas.openxmlformats.org/officeDocument/2006/relationships/chartsheet" Target="chartsheets/sheet3.xml"/><Relationship Id="rId10" Type="http://schemas.openxmlformats.org/officeDocument/2006/relationships/calcChain" Target="calcChain.xml"/><Relationship Id="rId4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Data!$AA$2</c:f>
              <c:strCache>
                <c:ptCount val="1"/>
                <c:pt idx="0">
                  <c:v>freq_hz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Data!$D$3:$D$23</c:f>
              <c:numCache>
                <c:formatCode>0.0</c:formatCode>
                <c:ptCount val="21"/>
                <c:pt idx="0">
                  <c:v>-36</c:v>
                </c:pt>
                <c:pt idx="1">
                  <c:v>-35.69</c:v>
                </c:pt>
                <c:pt idx="2">
                  <c:v>-34.44</c:v>
                </c:pt>
                <c:pt idx="3">
                  <c:v>-34.119999999999997</c:v>
                </c:pt>
                <c:pt idx="4">
                  <c:v>-33.81</c:v>
                </c:pt>
                <c:pt idx="5">
                  <c:v>-33.5</c:v>
                </c:pt>
                <c:pt idx="6">
                  <c:v>-33.19</c:v>
                </c:pt>
                <c:pt idx="7">
                  <c:v>-32.25</c:v>
                </c:pt>
                <c:pt idx="8">
                  <c:v>-31.62</c:v>
                </c:pt>
                <c:pt idx="9">
                  <c:v>-31</c:v>
                </c:pt>
                <c:pt idx="10">
                  <c:v>-28.81</c:v>
                </c:pt>
                <c:pt idx="11">
                  <c:v>-25.69</c:v>
                </c:pt>
                <c:pt idx="12">
                  <c:v>-21.31</c:v>
                </c:pt>
                <c:pt idx="13">
                  <c:v>-20.059999999999999</c:v>
                </c:pt>
                <c:pt idx="14">
                  <c:v>-15.69</c:v>
                </c:pt>
                <c:pt idx="15">
                  <c:v>5</c:v>
                </c:pt>
                <c:pt idx="16">
                  <c:v>10.56</c:v>
                </c:pt>
                <c:pt idx="17">
                  <c:v>17.440000000000001</c:v>
                </c:pt>
                <c:pt idx="18">
                  <c:v>26</c:v>
                </c:pt>
                <c:pt idx="19">
                  <c:v>28.62</c:v>
                </c:pt>
                <c:pt idx="20">
                  <c:v>30.19</c:v>
                </c:pt>
              </c:numCache>
            </c:numRef>
          </c:xVal>
          <c:yVal>
            <c:numRef>
              <c:f>Data!$AA$3:$AA$23</c:f>
              <c:numCache>
                <c:formatCode>0.0000</c:formatCode>
                <c:ptCount val="21"/>
                <c:pt idx="0">
                  <c:v>0.98020700000000005</c:v>
                </c:pt>
                <c:pt idx="1">
                  <c:v>0.98037399999999997</c:v>
                </c:pt>
                <c:pt idx="2">
                  <c:v>0.97924</c:v>
                </c:pt>
                <c:pt idx="3">
                  <c:v>0.97885999999999995</c:v>
                </c:pt>
                <c:pt idx="4">
                  <c:v>0.97912299999999997</c:v>
                </c:pt>
                <c:pt idx="5">
                  <c:v>0.97910399999999997</c:v>
                </c:pt>
                <c:pt idx="6">
                  <c:v>0.97867499999999996</c:v>
                </c:pt>
                <c:pt idx="7">
                  <c:v>0.97771699999999995</c:v>
                </c:pt>
                <c:pt idx="8">
                  <c:v>0.97806700000000002</c:v>
                </c:pt>
                <c:pt idx="9">
                  <c:v>0.97799800000000003</c:v>
                </c:pt>
                <c:pt idx="10">
                  <c:v>0.97484599999999999</c:v>
                </c:pt>
                <c:pt idx="11">
                  <c:v>0.97957099999999997</c:v>
                </c:pt>
                <c:pt idx="12">
                  <c:v>0.98942799999999997</c:v>
                </c:pt>
                <c:pt idx="13">
                  <c:v>0.98976600000000003</c:v>
                </c:pt>
                <c:pt idx="14">
                  <c:v>0.98901099999999997</c:v>
                </c:pt>
                <c:pt idx="15">
                  <c:v>0.99355000000000004</c:v>
                </c:pt>
                <c:pt idx="16">
                  <c:v>0.993035</c:v>
                </c:pt>
                <c:pt idx="17">
                  <c:v>0.98918499999999998</c:v>
                </c:pt>
                <c:pt idx="18">
                  <c:v>0.99031000000000002</c:v>
                </c:pt>
                <c:pt idx="19">
                  <c:v>0.99109700000000001</c:v>
                </c:pt>
                <c:pt idx="20">
                  <c:v>0.99086799999999997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73-401F-B415-10744954D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398848"/>
        <c:axId val="408409016"/>
      </c:scatterChart>
      <c:scatterChart>
        <c:scatterStyle val="lineMarker"/>
        <c:varyColors val="0"/>
        <c:ser>
          <c:idx val="1"/>
          <c:order val="1"/>
          <c:tx>
            <c:strRef>
              <c:f>Data!$AB$2</c:f>
              <c:strCache>
                <c:ptCount val="1"/>
                <c:pt idx="0">
                  <c:v>damping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Data!$D$3:$D$23</c:f>
              <c:numCache>
                <c:formatCode>0.0</c:formatCode>
                <c:ptCount val="21"/>
                <c:pt idx="0">
                  <c:v>-36</c:v>
                </c:pt>
                <c:pt idx="1">
                  <c:v>-35.69</c:v>
                </c:pt>
                <c:pt idx="2">
                  <c:v>-34.44</c:v>
                </c:pt>
                <c:pt idx="3">
                  <c:v>-34.119999999999997</c:v>
                </c:pt>
                <c:pt idx="4">
                  <c:v>-33.81</c:v>
                </c:pt>
                <c:pt idx="5">
                  <c:v>-33.5</c:v>
                </c:pt>
                <c:pt idx="6">
                  <c:v>-33.19</c:v>
                </c:pt>
                <c:pt idx="7">
                  <c:v>-32.25</c:v>
                </c:pt>
                <c:pt idx="8">
                  <c:v>-31.62</c:v>
                </c:pt>
                <c:pt idx="9">
                  <c:v>-31</c:v>
                </c:pt>
                <c:pt idx="10">
                  <c:v>-28.81</c:v>
                </c:pt>
                <c:pt idx="11">
                  <c:v>-25.69</c:v>
                </c:pt>
                <c:pt idx="12">
                  <c:v>-21.31</c:v>
                </c:pt>
                <c:pt idx="13">
                  <c:v>-20.059999999999999</c:v>
                </c:pt>
                <c:pt idx="14">
                  <c:v>-15.69</c:v>
                </c:pt>
                <c:pt idx="15">
                  <c:v>5</c:v>
                </c:pt>
                <c:pt idx="16">
                  <c:v>10.56</c:v>
                </c:pt>
                <c:pt idx="17">
                  <c:v>17.440000000000001</c:v>
                </c:pt>
                <c:pt idx="18">
                  <c:v>26</c:v>
                </c:pt>
                <c:pt idx="19">
                  <c:v>28.62</c:v>
                </c:pt>
                <c:pt idx="20">
                  <c:v>30.19</c:v>
                </c:pt>
              </c:numCache>
            </c:numRef>
          </c:xVal>
          <c:yVal>
            <c:numRef>
              <c:f>Data!$AB$3:$AB$23</c:f>
              <c:numCache>
                <c:formatCode>0.0000</c:formatCode>
                <c:ptCount val="21"/>
                <c:pt idx="0">
                  <c:v>0.743649</c:v>
                </c:pt>
                <c:pt idx="1">
                  <c:v>0.744232</c:v>
                </c:pt>
                <c:pt idx="2">
                  <c:v>0.74522699999999997</c:v>
                </c:pt>
                <c:pt idx="3">
                  <c:v>0.74426099999999995</c:v>
                </c:pt>
                <c:pt idx="4">
                  <c:v>0.74401099999999998</c:v>
                </c:pt>
                <c:pt idx="5">
                  <c:v>0.74501099999999998</c:v>
                </c:pt>
                <c:pt idx="6">
                  <c:v>0.74498799999999998</c:v>
                </c:pt>
                <c:pt idx="7">
                  <c:v>0.74533099999999997</c:v>
                </c:pt>
                <c:pt idx="8">
                  <c:v>0.74430799999999997</c:v>
                </c:pt>
                <c:pt idx="9">
                  <c:v>0.74327200000000004</c:v>
                </c:pt>
                <c:pt idx="10">
                  <c:v>0.739541</c:v>
                </c:pt>
                <c:pt idx="11">
                  <c:v>0.73326899999999995</c:v>
                </c:pt>
                <c:pt idx="12">
                  <c:v>0.72164300000000003</c:v>
                </c:pt>
                <c:pt idx="13">
                  <c:v>0.72162700000000002</c:v>
                </c:pt>
                <c:pt idx="14">
                  <c:v>0.715696</c:v>
                </c:pt>
                <c:pt idx="15">
                  <c:v>0.68799100000000002</c:v>
                </c:pt>
                <c:pt idx="16">
                  <c:v>0.68504399999999999</c:v>
                </c:pt>
                <c:pt idx="17">
                  <c:v>0.67926600000000004</c:v>
                </c:pt>
                <c:pt idx="18">
                  <c:v>0.67035299999999998</c:v>
                </c:pt>
                <c:pt idx="19">
                  <c:v>0.66230699999999998</c:v>
                </c:pt>
                <c:pt idx="20">
                  <c:v>0.66455399999999998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73-401F-B415-10744954D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578624"/>
        <c:axId val="684575672"/>
      </c:scatterChart>
      <c:valAx>
        <c:axId val="40839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09016"/>
        <c:crosses val="autoZero"/>
        <c:crossBetween val="midCat"/>
      </c:valAx>
      <c:valAx>
        <c:axId val="408409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Poles 01 Frequency [Hz]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398848"/>
        <c:crossesAt val="-1000"/>
        <c:crossBetween val="midCat"/>
      </c:valAx>
      <c:valAx>
        <c:axId val="68457567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Poles</a:t>
                </a:r>
                <a:r>
                  <a:rPr lang="en-CA" baseline="0"/>
                  <a:t> 01 </a:t>
                </a:r>
                <a:r>
                  <a:rPr lang="en-CA"/>
                  <a:t>Damping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578624"/>
        <c:crosses val="max"/>
        <c:crossBetween val="midCat"/>
      </c:valAx>
      <c:valAx>
        <c:axId val="684578624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684575672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Data!$AD$1</c:f>
              <c:strCache>
                <c:ptCount val="1"/>
                <c:pt idx="0">
                  <c:v>sensitivity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Data!$D$3:$D$23</c:f>
              <c:numCache>
                <c:formatCode>0.0</c:formatCode>
                <c:ptCount val="21"/>
                <c:pt idx="0">
                  <c:v>-36</c:v>
                </c:pt>
                <c:pt idx="1">
                  <c:v>-35.69</c:v>
                </c:pt>
                <c:pt idx="2">
                  <c:v>-34.44</c:v>
                </c:pt>
                <c:pt idx="3">
                  <c:v>-34.119999999999997</c:v>
                </c:pt>
                <c:pt idx="4">
                  <c:v>-33.81</c:v>
                </c:pt>
                <c:pt idx="5">
                  <c:v>-33.5</c:v>
                </c:pt>
                <c:pt idx="6">
                  <c:v>-33.19</c:v>
                </c:pt>
                <c:pt idx="7">
                  <c:v>-32.25</c:v>
                </c:pt>
                <c:pt idx="8">
                  <c:v>-31.62</c:v>
                </c:pt>
                <c:pt idx="9">
                  <c:v>-31</c:v>
                </c:pt>
                <c:pt idx="10">
                  <c:v>-28.81</c:v>
                </c:pt>
                <c:pt idx="11">
                  <c:v>-25.69</c:v>
                </c:pt>
                <c:pt idx="12">
                  <c:v>-21.31</c:v>
                </c:pt>
                <c:pt idx="13">
                  <c:v>-20.059999999999999</c:v>
                </c:pt>
                <c:pt idx="14">
                  <c:v>-15.69</c:v>
                </c:pt>
                <c:pt idx="15">
                  <c:v>5</c:v>
                </c:pt>
                <c:pt idx="16">
                  <c:v>10.56</c:v>
                </c:pt>
                <c:pt idx="17">
                  <c:v>17.440000000000001</c:v>
                </c:pt>
                <c:pt idx="18">
                  <c:v>26</c:v>
                </c:pt>
                <c:pt idx="19">
                  <c:v>28.62</c:v>
                </c:pt>
                <c:pt idx="20">
                  <c:v>30.19</c:v>
                </c:pt>
              </c:numCache>
            </c:numRef>
          </c:xVal>
          <c:yVal>
            <c:numRef>
              <c:f>Data!$AD$3:$AD$23</c:f>
              <c:numCache>
                <c:formatCode>General</c:formatCode>
                <c:ptCount val="21"/>
                <c:pt idx="0">
                  <c:v>17384.8</c:v>
                </c:pt>
                <c:pt idx="1">
                  <c:v>17393.400000000001</c:v>
                </c:pt>
                <c:pt idx="2">
                  <c:v>17344.8</c:v>
                </c:pt>
                <c:pt idx="3">
                  <c:v>17334</c:v>
                </c:pt>
                <c:pt idx="4">
                  <c:v>17351.599999999999</c:v>
                </c:pt>
                <c:pt idx="5">
                  <c:v>17343.400000000001</c:v>
                </c:pt>
                <c:pt idx="6">
                  <c:v>17331.400000000001</c:v>
                </c:pt>
                <c:pt idx="7">
                  <c:v>17311.400000000001</c:v>
                </c:pt>
                <c:pt idx="8">
                  <c:v>17297.8</c:v>
                </c:pt>
                <c:pt idx="9">
                  <c:v>17259.900000000001</c:v>
                </c:pt>
                <c:pt idx="10">
                  <c:v>17083</c:v>
                </c:pt>
                <c:pt idx="11">
                  <c:v>17004.099999999999</c:v>
                </c:pt>
                <c:pt idx="12">
                  <c:v>16870.599999999999</c:v>
                </c:pt>
                <c:pt idx="13">
                  <c:v>16842.599999999999</c:v>
                </c:pt>
                <c:pt idx="14">
                  <c:v>16667.900000000001</c:v>
                </c:pt>
                <c:pt idx="15">
                  <c:v>15914</c:v>
                </c:pt>
                <c:pt idx="16">
                  <c:v>15840.4</c:v>
                </c:pt>
                <c:pt idx="17">
                  <c:v>15624</c:v>
                </c:pt>
                <c:pt idx="18">
                  <c:v>15247.3</c:v>
                </c:pt>
                <c:pt idx="19">
                  <c:v>15101.6</c:v>
                </c:pt>
                <c:pt idx="20">
                  <c:v>15156.1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B3-4954-8A4F-37F54F7F0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398848"/>
        <c:axId val="408409016"/>
      </c:scatterChart>
      <c:scatterChart>
        <c:scatterStyle val="lineMarker"/>
        <c:varyColors val="0"/>
        <c:ser>
          <c:idx val="1"/>
          <c:order val="1"/>
          <c:tx>
            <c:strRef>
              <c:f>Data!$AC$1</c:f>
              <c:strCache>
                <c:ptCount val="1"/>
                <c:pt idx="0">
                  <c:v>pole_2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Data!$D$3:$D$23</c:f>
              <c:numCache>
                <c:formatCode>0.0</c:formatCode>
                <c:ptCount val="21"/>
                <c:pt idx="0">
                  <c:v>-36</c:v>
                </c:pt>
                <c:pt idx="1">
                  <c:v>-35.69</c:v>
                </c:pt>
                <c:pt idx="2">
                  <c:v>-34.44</c:v>
                </c:pt>
                <c:pt idx="3">
                  <c:v>-34.119999999999997</c:v>
                </c:pt>
                <c:pt idx="4">
                  <c:v>-33.81</c:v>
                </c:pt>
                <c:pt idx="5">
                  <c:v>-33.5</c:v>
                </c:pt>
                <c:pt idx="6">
                  <c:v>-33.19</c:v>
                </c:pt>
                <c:pt idx="7">
                  <c:v>-32.25</c:v>
                </c:pt>
                <c:pt idx="8">
                  <c:v>-31.62</c:v>
                </c:pt>
                <c:pt idx="9">
                  <c:v>-31</c:v>
                </c:pt>
                <c:pt idx="10">
                  <c:v>-28.81</c:v>
                </c:pt>
                <c:pt idx="11">
                  <c:v>-25.69</c:v>
                </c:pt>
                <c:pt idx="12">
                  <c:v>-21.31</c:v>
                </c:pt>
                <c:pt idx="13">
                  <c:v>-20.059999999999999</c:v>
                </c:pt>
                <c:pt idx="14">
                  <c:v>-15.69</c:v>
                </c:pt>
                <c:pt idx="15">
                  <c:v>5</c:v>
                </c:pt>
                <c:pt idx="16">
                  <c:v>10.56</c:v>
                </c:pt>
                <c:pt idx="17">
                  <c:v>17.440000000000001</c:v>
                </c:pt>
                <c:pt idx="18">
                  <c:v>26</c:v>
                </c:pt>
                <c:pt idx="19">
                  <c:v>28.62</c:v>
                </c:pt>
                <c:pt idx="20">
                  <c:v>30.19</c:v>
                </c:pt>
              </c:numCache>
            </c:numRef>
          </c:xVal>
          <c:yVal>
            <c:numRef>
              <c:f>Data!$AC$3:$AC$23</c:f>
              <c:numCache>
                <c:formatCode>0.00</c:formatCode>
                <c:ptCount val="21"/>
                <c:pt idx="0">
                  <c:v>67.219800000000006</c:v>
                </c:pt>
                <c:pt idx="1">
                  <c:v>67.210300000000004</c:v>
                </c:pt>
                <c:pt idx="2">
                  <c:v>66.843100000000007</c:v>
                </c:pt>
                <c:pt idx="3">
                  <c:v>67.028300000000002</c:v>
                </c:pt>
                <c:pt idx="4">
                  <c:v>67.065799999999996</c:v>
                </c:pt>
                <c:pt idx="5">
                  <c:v>66.855500000000006</c:v>
                </c:pt>
                <c:pt idx="6">
                  <c:v>66.951599999999999</c:v>
                </c:pt>
                <c:pt idx="7">
                  <c:v>66.861999999999995</c:v>
                </c:pt>
                <c:pt idx="8">
                  <c:v>66.944199999999995</c:v>
                </c:pt>
                <c:pt idx="9">
                  <c:v>66.8339</c:v>
                </c:pt>
                <c:pt idx="10">
                  <c:v>66.776399999999995</c:v>
                </c:pt>
                <c:pt idx="11">
                  <c:v>66.690100000000001</c:v>
                </c:pt>
                <c:pt idx="12">
                  <c:v>66.413300000000007</c:v>
                </c:pt>
                <c:pt idx="13">
                  <c:v>66.256200000000007</c:v>
                </c:pt>
                <c:pt idx="14">
                  <c:v>66.215199999999996</c:v>
                </c:pt>
                <c:pt idx="15">
                  <c:v>65.551000000000002</c:v>
                </c:pt>
                <c:pt idx="16">
                  <c:v>65.495599999999996</c:v>
                </c:pt>
                <c:pt idx="17">
                  <c:v>65.3506</c:v>
                </c:pt>
                <c:pt idx="18">
                  <c:v>64.900300000000001</c:v>
                </c:pt>
                <c:pt idx="19">
                  <c:v>65.124099999999999</c:v>
                </c:pt>
                <c:pt idx="20">
                  <c:v>65.040300000000002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B3-4954-8A4F-37F54F7F0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578624"/>
        <c:axId val="684575672"/>
      </c:scatterChart>
      <c:valAx>
        <c:axId val="40839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09016"/>
        <c:crosses val="autoZero"/>
        <c:crossBetween val="midCat"/>
      </c:valAx>
      <c:valAx>
        <c:axId val="408409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Sensitivity [V/(m/s)]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398848"/>
        <c:crossesAt val="-1000"/>
        <c:crossBetween val="midCat"/>
      </c:valAx>
      <c:valAx>
        <c:axId val="68457567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Pole 2 Frequency [Hz]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578624"/>
        <c:crosses val="max"/>
        <c:crossBetween val="midCat"/>
      </c:valAx>
      <c:valAx>
        <c:axId val="684578624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684575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Data!$AE$2</c:f>
              <c:strCache>
                <c:ptCount val="1"/>
                <c:pt idx="0">
                  <c:v>freq_hz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6583699055081488E-3"/>
                  <c:y val="-2.56756546562628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Data!$D$3:$D$23</c:f>
              <c:numCache>
                <c:formatCode>0.0</c:formatCode>
                <c:ptCount val="21"/>
                <c:pt idx="0">
                  <c:v>-36</c:v>
                </c:pt>
                <c:pt idx="1">
                  <c:v>-35.69</c:v>
                </c:pt>
                <c:pt idx="2">
                  <c:v>-34.44</c:v>
                </c:pt>
                <c:pt idx="3">
                  <c:v>-34.119999999999997</c:v>
                </c:pt>
                <c:pt idx="4">
                  <c:v>-33.81</c:v>
                </c:pt>
                <c:pt idx="5">
                  <c:v>-33.5</c:v>
                </c:pt>
                <c:pt idx="6">
                  <c:v>-33.19</c:v>
                </c:pt>
                <c:pt idx="7">
                  <c:v>-32.25</c:v>
                </c:pt>
                <c:pt idx="8">
                  <c:v>-31.62</c:v>
                </c:pt>
                <c:pt idx="9">
                  <c:v>-31</c:v>
                </c:pt>
                <c:pt idx="10">
                  <c:v>-28.81</c:v>
                </c:pt>
                <c:pt idx="11">
                  <c:v>-25.69</c:v>
                </c:pt>
                <c:pt idx="12">
                  <c:v>-21.31</c:v>
                </c:pt>
                <c:pt idx="13">
                  <c:v>-20.059999999999999</c:v>
                </c:pt>
                <c:pt idx="14">
                  <c:v>-15.69</c:v>
                </c:pt>
                <c:pt idx="15">
                  <c:v>5</c:v>
                </c:pt>
                <c:pt idx="16">
                  <c:v>10.56</c:v>
                </c:pt>
                <c:pt idx="17">
                  <c:v>17.440000000000001</c:v>
                </c:pt>
                <c:pt idx="18">
                  <c:v>26</c:v>
                </c:pt>
                <c:pt idx="19">
                  <c:v>28.62</c:v>
                </c:pt>
                <c:pt idx="20">
                  <c:v>30.19</c:v>
                </c:pt>
              </c:numCache>
            </c:numRef>
          </c:xVal>
          <c:yVal>
            <c:numRef>
              <c:f>Data!$AE$3:$AE$23</c:f>
              <c:numCache>
                <c:formatCode>0.0</c:formatCode>
                <c:ptCount val="21"/>
                <c:pt idx="0">
                  <c:v>-1.9802801971980255</c:v>
                </c:pt>
                <c:pt idx="1">
                  <c:v>-1.9635803641963712</c:v>
                </c:pt>
                <c:pt idx="2">
                  <c:v>-2.0769792302077095</c:v>
                </c:pt>
                <c:pt idx="3">
                  <c:v>-2.114978850211513</c:v>
                </c:pt>
                <c:pt idx="4">
                  <c:v>-2.08867911320888</c:v>
                </c:pt>
                <c:pt idx="5">
                  <c:v>-2.0905790942090663</c:v>
                </c:pt>
                <c:pt idx="6">
                  <c:v>-2.1334786652133619</c:v>
                </c:pt>
                <c:pt idx="7">
                  <c:v>-2.2292777072229431</c:v>
                </c:pt>
                <c:pt idx="8">
                  <c:v>-2.1942780572194343</c:v>
                </c:pt>
                <c:pt idx="9">
                  <c:v>-2.2011779882201155</c:v>
                </c:pt>
                <c:pt idx="10">
                  <c:v>-2.5163748362516447</c:v>
                </c:pt>
                <c:pt idx="11">
                  <c:v>-2.0438795612043981</c:v>
                </c:pt>
                <c:pt idx="12">
                  <c:v>-1.058189418105826</c:v>
                </c:pt>
                <c:pt idx="13">
                  <c:v>-1.0243897561024395</c:v>
                </c:pt>
                <c:pt idx="14">
                  <c:v>-1.0998890011099993</c:v>
                </c:pt>
                <c:pt idx="15">
                  <c:v>-0.64599354006460441</c:v>
                </c:pt>
                <c:pt idx="16">
                  <c:v>-0.69749302506975086</c:v>
                </c:pt>
                <c:pt idx="17">
                  <c:v>-1.0824891751082588</c:v>
                </c:pt>
                <c:pt idx="18">
                  <c:v>-0.96999030009700116</c:v>
                </c:pt>
                <c:pt idx="19">
                  <c:v>-0.89129108708912996</c:v>
                </c:pt>
                <c:pt idx="20">
                  <c:v>-0.91419085809142375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75-4196-A244-CCCC3DFB9587}"/>
            </c:ext>
          </c:extLst>
        </c:ser>
        <c:ser>
          <c:idx val="1"/>
          <c:order val="1"/>
          <c:tx>
            <c:strRef>
              <c:f>Data!$AF$2</c:f>
              <c:strCache>
                <c:ptCount val="1"/>
                <c:pt idx="0">
                  <c:v>damping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7133280828897072"/>
                  <c:y val="-0.265799981652197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Data!$D$3:$D$23</c:f>
              <c:numCache>
                <c:formatCode>0.0</c:formatCode>
                <c:ptCount val="21"/>
                <c:pt idx="0">
                  <c:v>-36</c:v>
                </c:pt>
                <c:pt idx="1">
                  <c:v>-35.69</c:v>
                </c:pt>
                <c:pt idx="2">
                  <c:v>-34.44</c:v>
                </c:pt>
                <c:pt idx="3">
                  <c:v>-34.119999999999997</c:v>
                </c:pt>
                <c:pt idx="4">
                  <c:v>-33.81</c:v>
                </c:pt>
                <c:pt idx="5">
                  <c:v>-33.5</c:v>
                </c:pt>
                <c:pt idx="6">
                  <c:v>-33.19</c:v>
                </c:pt>
                <c:pt idx="7">
                  <c:v>-32.25</c:v>
                </c:pt>
                <c:pt idx="8">
                  <c:v>-31.62</c:v>
                </c:pt>
                <c:pt idx="9">
                  <c:v>-31</c:v>
                </c:pt>
                <c:pt idx="10">
                  <c:v>-28.81</c:v>
                </c:pt>
                <c:pt idx="11">
                  <c:v>-25.69</c:v>
                </c:pt>
                <c:pt idx="12">
                  <c:v>-21.31</c:v>
                </c:pt>
                <c:pt idx="13">
                  <c:v>-20.059999999999999</c:v>
                </c:pt>
                <c:pt idx="14">
                  <c:v>-15.69</c:v>
                </c:pt>
                <c:pt idx="15">
                  <c:v>5</c:v>
                </c:pt>
                <c:pt idx="16">
                  <c:v>10.56</c:v>
                </c:pt>
                <c:pt idx="17">
                  <c:v>17.440000000000001</c:v>
                </c:pt>
                <c:pt idx="18">
                  <c:v>26</c:v>
                </c:pt>
                <c:pt idx="19">
                  <c:v>28.62</c:v>
                </c:pt>
                <c:pt idx="20">
                  <c:v>30.19</c:v>
                </c:pt>
              </c:numCache>
            </c:numRef>
          </c:xVal>
          <c:yVal>
            <c:numRef>
              <c:f>Data!$AF$3:$AF$23</c:f>
              <c:numCache>
                <c:formatCode>0.0</c:formatCode>
                <c:ptCount val="21"/>
                <c:pt idx="0">
                  <c:v>19.282140777656753</c:v>
                </c:pt>
                <c:pt idx="1">
                  <c:v>19.375654637116501</c:v>
                </c:pt>
                <c:pt idx="2">
                  <c:v>19.535253762609518</c:v>
                </c:pt>
                <c:pt idx="3">
                  <c:v>19.380306269919799</c:v>
                </c:pt>
                <c:pt idx="4">
                  <c:v>19.34020598713262</c:v>
                </c:pt>
                <c:pt idx="5">
                  <c:v>19.500607118281387</c:v>
                </c:pt>
                <c:pt idx="6">
                  <c:v>19.496917892264975</c:v>
                </c:pt>
                <c:pt idx="7">
                  <c:v>19.551935480249007</c:v>
                </c:pt>
                <c:pt idx="8">
                  <c:v>19.387845123083803</c:v>
                </c:pt>
                <c:pt idx="9">
                  <c:v>19.221669551213672</c:v>
                </c:pt>
                <c:pt idx="10">
                  <c:v>18.623212930897594</c:v>
                </c:pt>
                <c:pt idx="11">
                  <c:v>17.617177036332453</c:v>
                </c:pt>
                <c:pt idx="12">
                  <c:v>15.752353485596782</c:v>
                </c:pt>
                <c:pt idx="13">
                  <c:v>15.749787067498389</c:v>
                </c:pt>
                <c:pt idx="14">
                  <c:v>14.798447958654993</c:v>
                </c:pt>
                <c:pt idx="15">
                  <c:v>10.354534620178146</c:v>
                </c:pt>
                <c:pt idx="16">
                  <c:v>9.8818324866826845</c:v>
                </c:pt>
                <c:pt idx="17">
                  <c:v>8.9550347509050674</c:v>
                </c:pt>
                <c:pt idx="18">
                  <c:v>7.5253794689760012</c:v>
                </c:pt>
                <c:pt idx="19">
                  <c:v>6.2347919677529395</c:v>
                </c:pt>
                <c:pt idx="20">
                  <c:v>6.5952133094442589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75-4196-A244-CCCC3DFB9587}"/>
            </c:ext>
          </c:extLst>
        </c:ser>
        <c:ser>
          <c:idx val="2"/>
          <c:order val="2"/>
          <c:tx>
            <c:strRef>
              <c:f>Data!$AG$2</c:f>
              <c:strCache>
                <c:ptCount val="1"/>
                <c:pt idx="0">
                  <c:v>freq_hz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61514985775630893"/>
                  <c:y val="-0.130948870261037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Data!$D$3:$D$23</c:f>
              <c:numCache>
                <c:formatCode>0.0</c:formatCode>
                <c:ptCount val="21"/>
                <c:pt idx="0">
                  <c:v>-36</c:v>
                </c:pt>
                <c:pt idx="1">
                  <c:v>-35.69</c:v>
                </c:pt>
                <c:pt idx="2">
                  <c:v>-34.44</c:v>
                </c:pt>
                <c:pt idx="3">
                  <c:v>-34.119999999999997</c:v>
                </c:pt>
                <c:pt idx="4">
                  <c:v>-33.81</c:v>
                </c:pt>
                <c:pt idx="5">
                  <c:v>-33.5</c:v>
                </c:pt>
                <c:pt idx="6">
                  <c:v>-33.19</c:v>
                </c:pt>
                <c:pt idx="7">
                  <c:v>-32.25</c:v>
                </c:pt>
                <c:pt idx="8">
                  <c:v>-31.62</c:v>
                </c:pt>
                <c:pt idx="9">
                  <c:v>-31</c:v>
                </c:pt>
                <c:pt idx="10">
                  <c:v>-28.81</c:v>
                </c:pt>
                <c:pt idx="11">
                  <c:v>-25.69</c:v>
                </c:pt>
                <c:pt idx="12">
                  <c:v>-21.31</c:v>
                </c:pt>
                <c:pt idx="13">
                  <c:v>-20.059999999999999</c:v>
                </c:pt>
                <c:pt idx="14">
                  <c:v>-15.69</c:v>
                </c:pt>
                <c:pt idx="15">
                  <c:v>5</c:v>
                </c:pt>
                <c:pt idx="16">
                  <c:v>10.56</c:v>
                </c:pt>
                <c:pt idx="17">
                  <c:v>17.440000000000001</c:v>
                </c:pt>
                <c:pt idx="18">
                  <c:v>26</c:v>
                </c:pt>
                <c:pt idx="19">
                  <c:v>28.62</c:v>
                </c:pt>
                <c:pt idx="20">
                  <c:v>30.19</c:v>
                </c:pt>
              </c:numCache>
            </c:numRef>
          </c:xVal>
          <c:yVal>
            <c:numRef>
              <c:f>Data!$AG$3:$AG$23</c:f>
              <c:numCache>
                <c:formatCode>0.0</c:formatCode>
                <c:ptCount val="21"/>
                <c:pt idx="0">
                  <c:v>0.32880842394347187</c:v>
                </c:pt>
                <c:pt idx="1">
                  <c:v>0.31462921365086327</c:v>
                </c:pt>
                <c:pt idx="2">
                  <c:v>-0.23343457786997313</c:v>
                </c:pt>
                <c:pt idx="3">
                  <c:v>4.2985395413408511E-2</c:v>
                </c:pt>
                <c:pt idx="4">
                  <c:v>9.895596235791615E-2</c:v>
                </c:pt>
                <c:pt idx="5">
                  <c:v>-0.21492697706697594</c:v>
                </c:pt>
                <c:pt idx="6">
                  <c:v>-7.1493070843808848E-2</c:v>
                </c:pt>
                <c:pt idx="7">
                  <c:v>-0.20522541212995016</c:v>
                </c:pt>
                <c:pt idx="8">
                  <c:v>-8.2537929387538345E-2</c:v>
                </c:pt>
                <c:pt idx="9">
                  <c:v>-0.24716602362704343</c:v>
                </c:pt>
                <c:pt idx="10">
                  <c:v>-0.33298755960865511</c:v>
                </c:pt>
                <c:pt idx="11">
                  <c:v>-0.46179449100366421</c:v>
                </c:pt>
                <c:pt idx="12">
                  <c:v>-0.87493190247687203</c:v>
                </c:pt>
                <c:pt idx="13">
                  <c:v>-1.1094112642631493</c:v>
                </c:pt>
                <c:pt idx="14">
                  <c:v>-1.1706057507891887</c:v>
                </c:pt>
                <c:pt idx="15">
                  <c:v>-2.161956432510681</c:v>
                </c:pt>
                <c:pt idx="16">
                  <c:v>-2.2446436167434136</c:v>
                </c:pt>
                <c:pt idx="17">
                  <c:v>-2.4610631422622542</c:v>
                </c:pt>
                <c:pt idx="18">
                  <c:v>-3.1331577101321617</c:v>
                </c:pt>
                <c:pt idx="19">
                  <c:v>-2.7991253666072136</c:v>
                </c:pt>
                <c:pt idx="20">
                  <c:v>-2.9242009268725777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75-4196-A244-CCCC3DFB9587}"/>
            </c:ext>
          </c:extLst>
        </c:ser>
        <c:ser>
          <c:idx val="3"/>
          <c:order val="3"/>
          <c:tx>
            <c:strRef>
              <c:f>Data!$AH$2</c:f>
              <c:strCache>
                <c:ptCount val="1"/>
                <c:pt idx="0">
                  <c:v>V/(m/s)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7542250743947297"/>
                  <c:y val="-0.347639752006275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Data!$D$3:$D$23</c:f>
              <c:numCache>
                <c:formatCode>0.0</c:formatCode>
                <c:ptCount val="21"/>
                <c:pt idx="0">
                  <c:v>-36</c:v>
                </c:pt>
                <c:pt idx="1">
                  <c:v>-35.69</c:v>
                </c:pt>
                <c:pt idx="2">
                  <c:v>-34.44</c:v>
                </c:pt>
                <c:pt idx="3">
                  <c:v>-34.119999999999997</c:v>
                </c:pt>
                <c:pt idx="4">
                  <c:v>-33.81</c:v>
                </c:pt>
                <c:pt idx="5">
                  <c:v>-33.5</c:v>
                </c:pt>
                <c:pt idx="6">
                  <c:v>-33.19</c:v>
                </c:pt>
                <c:pt idx="7">
                  <c:v>-32.25</c:v>
                </c:pt>
                <c:pt idx="8">
                  <c:v>-31.62</c:v>
                </c:pt>
                <c:pt idx="9">
                  <c:v>-31</c:v>
                </c:pt>
                <c:pt idx="10">
                  <c:v>-28.81</c:v>
                </c:pt>
                <c:pt idx="11">
                  <c:v>-25.69</c:v>
                </c:pt>
                <c:pt idx="12">
                  <c:v>-21.31</c:v>
                </c:pt>
                <c:pt idx="13">
                  <c:v>-20.059999999999999</c:v>
                </c:pt>
                <c:pt idx="14">
                  <c:v>-15.69</c:v>
                </c:pt>
                <c:pt idx="15">
                  <c:v>5</c:v>
                </c:pt>
                <c:pt idx="16">
                  <c:v>10.56</c:v>
                </c:pt>
                <c:pt idx="17">
                  <c:v>17.440000000000001</c:v>
                </c:pt>
                <c:pt idx="18">
                  <c:v>26</c:v>
                </c:pt>
                <c:pt idx="19">
                  <c:v>28.62</c:v>
                </c:pt>
                <c:pt idx="20">
                  <c:v>30.19</c:v>
                </c:pt>
              </c:numCache>
            </c:numRef>
          </c:xVal>
          <c:yVal>
            <c:numRef>
              <c:f>Data!$AH$3:$AH$23</c:f>
              <c:numCache>
                <c:formatCode>0.0</c:formatCode>
                <c:ptCount val="21"/>
                <c:pt idx="0">
                  <c:v>11.106992439396945</c:v>
                </c:pt>
                <c:pt idx="1">
                  <c:v>11.161955403306735</c:v>
                </c:pt>
                <c:pt idx="2">
                  <c:v>10.851350746793287</c:v>
                </c:pt>
                <c:pt idx="3">
                  <c:v>10.782327489790312</c:v>
                </c:pt>
                <c:pt idx="4">
                  <c:v>10.894809834535902</c:v>
                </c:pt>
                <c:pt idx="5">
                  <c:v>10.842403287552171</c:v>
                </c:pt>
                <c:pt idx="6">
                  <c:v>10.765710779771087</c:v>
                </c:pt>
                <c:pt idx="7">
                  <c:v>10.637889933469257</c:v>
                </c:pt>
                <c:pt idx="8">
                  <c:v>10.550971757984007</c:v>
                </c:pt>
                <c:pt idx="9">
                  <c:v>10.308751254242065</c:v>
                </c:pt>
                <c:pt idx="10">
                  <c:v>9.1781758687024215</c:v>
                </c:pt>
                <c:pt idx="11">
                  <c:v>8.6739226300417194</c:v>
                </c:pt>
                <c:pt idx="12">
                  <c:v>7.8207184809770514</c:v>
                </c:pt>
                <c:pt idx="13">
                  <c:v>7.6417692961544992</c:v>
                </c:pt>
                <c:pt idx="14">
                  <c:v>6.5252542037080863</c:v>
                </c:pt>
                <c:pt idx="15">
                  <c:v>1.7070474023608506</c:v>
                </c:pt>
                <c:pt idx="16">
                  <c:v>1.2366666879701338</c:v>
                </c:pt>
                <c:pt idx="17">
                  <c:v>-0.14635486901558581</c:v>
                </c:pt>
                <c:pt idx="18">
                  <c:v>-2.5538605091104283</c:v>
                </c:pt>
                <c:pt idx="19">
                  <c:v>-3.4850353744192097</c:v>
                </c:pt>
                <c:pt idx="20">
                  <c:v>-3.1367235682467354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75-4196-A244-CCCC3DFB9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847032"/>
        <c:axId val="97846376"/>
      </c:scatterChart>
      <c:valAx>
        <c:axId val="97847032"/>
        <c:scaling>
          <c:orientation val="minMax"/>
          <c:max val="40"/>
          <c:min val="-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Temperature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46376"/>
        <c:crossesAt val="-100"/>
        <c:crossBetween val="midCat"/>
      </c:valAx>
      <c:valAx>
        <c:axId val="97846376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Deviation wrt Nominal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47032"/>
        <c:crossesAt val="-10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tabSelected="1" zoomScale="10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7362" cy="630048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2BEFC5-983A-D519-AFCA-81D45C4A727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7362" cy="630048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606EEF-E82D-1AFD-B410-BDCFB66B5BA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7362" cy="630048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B779C5-8A38-3BD7-DA6C-3353AA4826B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"/>
  <sheetViews>
    <sheetView workbookViewId="0">
      <selection activeCell="M43" sqref="M43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</row>
    <row r="2" spans="1:25" x14ac:dyDescent="0.25">
      <c r="A2" t="s">
        <v>2</v>
      </c>
      <c r="B2" t="s">
        <v>3</v>
      </c>
      <c r="C2" s="1">
        <v>43978.593993055554</v>
      </c>
      <c r="D2" s="1">
        <v>43978.715914351851</v>
      </c>
      <c r="E2" s="2">
        <v>43978.833594328702</v>
      </c>
      <c r="F2" s="1">
        <v>43978.907905092594</v>
      </c>
      <c r="G2" s="1">
        <v>44001.838182870371</v>
      </c>
      <c r="H2" s="1">
        <v>44004.893541666665</v>
      </c>
      <c r="I2" s="1">
        <v>44006.82309027778</v>
      </c>
      <c r="J2" s="1">
        <v>43854.740798611114</v>
      </c>
      <c r="K2" s="1">
        <v>43851.917847222219</v>
      </c>
      <c r="L2" s="1">
        <v>43851.710300925923</v>
      </c>
      <c r="M2" s="1">
        <v>43850.658715277779</v>
      </c>
      <c r="N2" s="1">
        <v>43837.949583333335</v>
      </c>
      <c r="O2" s="2">
        <v>43845.938975115743</v>
      </c>
      <c r="P2" s="1">
        <v>43845.861122685186</v>
      </c>
      <c r="Q2" s="1">
        <v>43838.902673611112</v>
      </c>
      <c r="R2" s="1">
        <v>43838.851458333331</v>
      </c>
      <c r="S2" s="1">
        <v>43845.775208333333</v>
      </c>
      <c r="T2" s="1">
        <v>43845.759884259256</v>
      </c>
      <c r="U2" s="1">
        <v>43838.637685185182</v>
      </c>
      <c r="V2" s="1">
        <v>43838.739618055559</v>
      </c>
      <c r="W2" s="2">
        <v>43839.672563078704</v>
      </c>
      <c r="X2" s="2">
        <v>43840.645514467593</v>
      </c>
    </row>
    <row r="3" spans="1:25" x14ac:dyDescent="0.25">
      <c r="A3" t="s">
        <v>2</v>
      </c>
      <c r="B3" t="s">
        <v>4</v>
      </c>
      <c r="C3" t="s">
        <v>5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5</v>
      </c>
      <c r="V3" t="s">
        <v>5</v>
      </c>
      <c r="W3" t="s">
        <v>5</v>
      </c>
      <c r="X3" t="s">
        <v>5</v>
      </c>
      <c r="Y3" t="s">
        <v>6</v>
      </c>
    </row>
    <row r="4" spans="1:25" x14ac:dyDescent="0.25">
      <c r="A4" t="s">
        <v>2</v>
      </c>
      <c r="B4" t="s">
        <v>44</v>
      </c>
      <c r="C4">
        <v>5</v>
      </c>
      <c r="D4">
        <v>10.56</v>
      </c>
      <c r="E4">
        <v>17.440000000000001</v>
      </c>
      <c r="F4">
        <v>20.25</v>
      </c>
      <c r="G4">
        <v>26</v>
      </c>
      <c r="H4">
        <v>28.62</v>
      </c>
      <c r="I4">
        <v>30.19</v>
      </c>
      <c r="J4">
        <v>-15.69</v>
      </c>
      <c r="K4">
        <v>-20.059999999999999</v>
      </c>
      <c r="L4">
        <v>-21.31</v>
      </c>
      <c r="M4">
        <v>-25.69</v>
      </c>
      <c r="N4">
        <v>-28.81</v>
      </c>
      <c r="O4">
        <v>-31</v>
      </c>
      <c r="P4">
        <v>-31.62</v>
      </c>
      <c r="Q4">
        <v>-32.25</v>
      </c>
      <c r="R4">
        <v>-33.19</v>
      </c>
      <c r="S4">
        <v>-33.5</v>
      </c>
      <c r="T4">
        <v>-33.81</v>
      </c>
      <c r="U4">
        <v>-34.119999999999997</v>
      </c>
      <c r="V4">
        <v>-34.44</v>
      </c>
      <c r="W4">
        <v>-35.69</v>
      </c>
      <c r="X4">
        <v>-36</v>
      </c>
    </row>
    <row r="5" spans="1:25" x14ac:dyDescent="0.25">
      <c r="A5" t="s">
        <v>2</v>
      </c>
      <c r="B5" t="s">
        <v>7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  <c r="N5" t="s">
        <v>8</v>
      </c>
      <c r="O5" t="s">
        <v>8</v>
      </c>
      <c r="P5" t="s">
        <v>8</v>
      </c>
      <c r="Q5" t="s">
        <v>8</v>
      </c>
      <c r="R5" t="s">
        <v>8</v>
      </c>
      <c r="S5" t="s">
        <v>8</v>
      </c>
      <c r="T5" t="s">
        <v>8</v>
      </c>
      <c r="U5" t="s">
        <v>8</v>
      </c>
      <c r="V5" t="s">
        <v>8</v>
      </c>
      <c r="W5" t="s">
        <v>8</v>
      </c>
      <c r="X5" t="s">
        <v>8</v>
      </c>
      <c r="Y5" t="s">
        <v>8</v>
      </c>
    </row>
    <row r="6" spans="1:25" x14ac:dyDescent="0.25">
      <c r="A6" t="s">
        <v>2</v>
      </c>
      <c r="B6" t="s">
        <v>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5" x14ac:dyDescent="0.25">
      <c r="A7" t="s">
        <v>2</v>
      </c>
      <c r="B7" t="s">
        <v>10</v>
      </c>
      <c r="C7">
        <v>0.02</v>
      </c>
      <c r="D7">
        <v>0.02</v>
      </c>
      <c r="E7">
        <v>0.02</v>
      </c>
      <c r="F7">
        <v>0.02</v>
      </c>
      <c r="G7">
        <v>0.02</v>
      </c>
      <c r="H7">
        <v>0.02</v>
      </c>
      <c r="I7">
        <v>0.02</v>
      </c>
      <c r="J7">
        <v>0.02</v>
      </c>
      <c r="K7">
        <v>0.02</v>
      </c>
      <c r="L7">
        <v>0.02</v>
      </c>
      <c r="M7">
        <v>0.02</v>
      </c>
      <c r="N7">
        <v>0.02</v>
      </c>
      <c r="O7">
        <v>0.02</v>
      </c>
      <c r="P7">
        <v>0.02</v>
      </c>
      <c r="Q7">
        <v>0.02</v>
      </c>
      <c r="R7">
        <v>0.02</v>
      </c>
      <c r="S7">
        <v>0.02</v>
      </c>
      <c r="T7">
        <v>0.02</v>
      </c>
      <c r="U7">
        <v>0.02</v>
      </c>
      <c r="V7">
        <v>0.02</v>
      </c>
      <c r="W7">
        <v>0.02</v>
      </c>
      <c r="X7">
        <v>0.02</v>
      </c>
    </row>
    <row r="8" spans="1:25" x14ac:dyDescent="0.25">
      <c r="A8" t="s">
        <v>2</v>
      </c>
      <c r="B8" t="s">
        <v>11</v>
      </c>
      <c r="C8">
        <v>16</v>
      </c>
      <c r="D8">
        <v>16</v>
      </c>
      <c r="E8">
        <v>16</v>
      </c>
      <c r="F8">
        <v>16</v>
      </c>
      <c r="G8">
        <v>16</v>
      </c>
      <c r="H8">
        <v>16</v>
      </c>
      <c r="I8">
        <v>16</v>
      </c>
      <c r="J8">
        <v>16</v>
      </c>
      <c r="K8">
        <v>16</v>
      </c>
      <c r="L8">
        <v>16</v>
      </c>
      <c r="M8">
        <v>16</v>
      </c>
      <c r="N8">
        <v>16</v>
      </c>
      <c r="O8">
        <v>16</v>
      </c>
      <c r="P8">
        <v>16</v>
      </c>
      <c r="Q8">
        <v>16</v>
      </c>
      <c r="R8">
        <v>16</v>
      </c>
      <c r="S8">
        <v>16</v>
      </c>
      <c r="T8">
        <v>16</v>
      </c>
      <c r="U8">
        <v>16</v>
      </c>
      <c r="V8">
        <v>16</v>
      </c>
      <c r="W8">
        <v>16</v>
      </c>
      <c r="X8">
        <v>16</v>
      </c>
    </row>
    <row r="9" spans="1:25" x14ac:dyDescent="0.25">
      <c r="A9" t="s">
        <v>2</v>
      </c>
      <c r="B9" t="s">
        <v>12</v>
      </c>
      <c r="C9">
        <v>5</v>
      </c>
      <c r="D9">
        <v>5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</row>
    <row r="10" spans="1:25" x14ac:dyDescent="0.25">
      <c r="A10" t="s">
        <v>2</v>
      </c>
      <c r="B10" t="s">
        <v>13</v>
      </c>
      <c r="C10">
        <v>5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</row>
    <row r="11" spans="1:25" x14ac:dyDescent="0.25">
      <c r="A11" t="s">
        <v>2</v>
      </c>
      <c r="B11" t="s">
        <v>14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</row>
    <row r="12" spans="1:25" x14ac:dyDescent="0.25">
      <c r="A12" t="s">
        <v>2</v>
      </c>
      <c r="B12" t="s">
        <v>15</v>
      </c>
      <c r="C12" t="b">
        <v>1</v>
      </c>
      <c r="D12" t="b">
        <v>1</v>
      </c>
      <c r="E12" t="b">
        <v>1</v>
      </c>
      <c r="F12" t="b">
        <v>0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</row>
    <row r="13" spans="1:25" x14ac:dyDescent="0.25">
      <c r="A13" t="s">
        <v>2</v>
      </c>
      <c r="B13" t="s">
        <v>16</v>
      </c>
      <c r="C13">
        <v>603.97500000000002</v>
      </c>
      <c r="D13">
        <v>603.97500000000002</v>
      </c>
      <c r="E13">
        <v>604</v>
      </c>
      <c r="F13">
        <v>603.97500000000002</v>
      </c>
      <c r="G13">
        <v>604</v>
      </c>
      <c r="H13">
        <v>603.97500000000002</v>
      </c>
      <c r="I13">
        <v>604</v>
      </c>
      <c r="J13">
        <v>602.97500000000002</v>
      </c>
      <c r="K13">
        <v>603.97500000000002</v>
      </c>
      <c r="L13">
        <v>603.97500000000002</v>
      </c>
      <c r="M13">
        <v>603.54999999999995</v>
      </c>
      <c r="N13">
        <v>603.97500000000002</v>
      </c>
      <c r="O13">
        <v>604</v>
      </c>
      <c r="P13">
        <v>603.97500000000002</v>
      </c>
      <c r="Q13">
        <v>603.97500000000002</v>
      </c>
      <c r="R13">
        <v>603.97500000000002</v>
      </c>
      <c r="S13">
        <v>604</v>
      </c>
      <c r="T13">
        <v>603.54999999999995</v>
      </c>
      <c r="U13">
        <v>603.6</v>
      </c>
      <c r="V13">
        <v>603.97500000000002</v>
      </c>
      <c r="W13">
        <v>604</v>
      </c>
      <c r="X13">
        <v>604</v>
      </c>
    </row>
    <row r="14" spans="1:25" x14ac:dyDescent="0.25">
      <c r="A14" t="s">
        <v>2</v>
      </c>
      <c r="B14" t="s">
        <v>17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0.45</v>
      </c>
      <c r="U14">
        <v>0.4</v>
      </c>
      <c r="V14">
        <v>0</v>
      </c>
      <c r="W14">
        <v>0</v>
      </c>
      <c r="X14">
        <v>0</v>
      </c>
    </row>
    <row r="15" spans="1:25" x14ac:dyDescent="0.25">
      <c r="A15" t="s">
        <v>2</v>
      </c>
      <c r="B15" t="s">
        <v>18</v>
      </c>
      <c r="C15">
        <v>2.5000000000000001E-2</v>
      </c>
      <c r="D15">
        <v>2.5000000000000001E-2</v>
      </c>
      <c r="E15">
        <v>0</v>
      </c>
      <c r="F15">
        <v>2.5000000000000001E-2</v>
      </c>
      <c r="G15">
        <v>0</v>
      </c>
      <c r="H15">
        <v>2.5000000000000001E-2</v>
      </c>
      <c r="I15">
        <v>0</v>
      </c>
      <c r="J15">
        <v>1.0249999999999999</v>
      </c>
      <c r="K15">
        <v>2.5000000000000001E-2</v>
      </c>
      <c r="L15">
        <v>2.5000000000000001E-2</v>
      </c>
      <c r="M15">
        <v>0</v>
      </c>
      <c r="N15">
        <v>2.5000000000000001E-2</v>
      </c>
      <c r="O15">
        <v>0</v>
      </c>
      <c r="P15">
        <v>2.5000000000000001E-2</v>
      </c>
      <c r="Q15">
        <v>2.5000000000000001E-2</v>
      </c>
      <c r="R15">
        <v>2.5000000000000001E-2</v>
      </c>
      <c r="S15">
        <v>0</v>
      </c>
      <c r="T15">
        <v>0</v>
      </c>
      <c r="U15">
        <v>0</v>
      </c>
      <c r="V15">
        <v>2.5000000000000001E-2</v>
      </c>
      <c r="W15">
        <v>0</v>
      </c>
      <c r="X15">
        <v>0</v>
      </c>
    </row>
    <row r="16" spans="1:25" x14ac:dyDescent="0.25">
      <c r="A16" t="s">
        <v>2</v>
      </c>
      <c r="B16" t="s">
        <v>19</v>
      </c>
      <c r="C16">
        <v>40</v>
      </c>
      <c r="D16">
        <v>40</v>
      </c>
      <c r="E16">
        <v>40</v>
      </c>
      <c r="F16">
        <v>40</v>
      </c>
      <c r="G16">
        <v>40</v>
      </c>
      <c r="H16">
        <v>40</v>
      </c>
      <c r="I16">
        <v>40</v>
      </c>
      <c r="J16">
        <v>40</v>
      </c>
      <c r="K16">
        <v>40</v>
      </c>
      <c r="L16">
        <v>40</v>
      </c>
      <c r="M16">
        <v>40</v>
      </c>
      <c r="N16">
        <v>40</v>
      </c>
      <c r="O16">
        <v>40</v>
      </c>
      <c r="P16">
        <v>40</v>
      </c>
      <c r="Q16">
        <v>40</v>
      </c>
      <c r="R16">
        <v>40</v>
      </c>
      <c r="S16">
        <v>40</v>
      </c>
      <c r="T16">
        <v>40</v>
      </c>
      <c r="U16">
        <v>40</v>
      </c>
      <c r="V16">
        <v>40</v>
      </c>
      <c r="W16">
        <v>40</v>
      </c>
      <c r="X16">
        <v>40</v>
      </c>
    </row>
    <row r="17" spans="1:25" x14ac:dyDescent="0.25">
      <c r="A17" t="s">
        <v>2</v>
      </c>
      <c r="B17" t="s">
        <v>20</v>
      </c>
      <c r="C17">
        <v>23</v>
      </c>
      <c r="D17">
        <v>23</v>
      </c>
      <c r="E17">
        <v>23</v>
      </c>
      <c r="F17">
        <v>23</v>
      </c>
      <c r="G17">
        <v>23</v>
      </c>
      <c r="H17">
        <v>23</v>
      </c>
      <c r="I17">
        <v>23</v>
      </c>
      <c r="J17">
        <v>23</v>
      </c>
      <c r="K17">
        <v>23</v>
      </c>
      <c r="L17">
        <v>23</v>
      </c>
      <c r="M17">
        <v>23</v>
      </c>
      <c r="N17">
        <v>23</v>
      </c>
      <c r="O17">
        <v>23</v>
      </c>
      <c r="P17">
        <v>23</v>
      </c>
      <c r="Q17">
        <v>23</v>
      </c>
      <c r="R17">
        <v>23</v>
      </c>
      <c r="S17">
        <v>23</v>
      </c>
      <c r="T17">
        <v>23</v>
      </c>
      <c r="U17">
        <v>23</v>
      </c>
      <c r="V17">
        <v>23</v>
      </c>
      <c r="W17">
        <v>23</v>
      </c>
      <c r="X17">
        <v>23</v>
      </c>
    </row>
    <row r="18" spans="1:25" x14ac:dyDescent="0.25">
      <c r="A18" t="s">
        <v>2</v>
      </c>
      <c r="B18" t="s">
        <v>21</v>
      </c>
      <c r="C18" s="3">
        <v>8.2999999999999998E-5</v>
      </c>
      <c r="D18" s="3">
        <v>6.8999999999999997E-5</v>
      </c>
      <c r="E18" s="3">
        <v>2.9E-5</v>
      </c>
      <c r="F18">
        <v>-6.0099999999999997E-4</v>
      </c>
      <c r="G18" s="3">
        <v>1.9000000000000001E-5</v>
      </c>
      <c r="H18" s="3">
        <v>-2.1999999999999999E-5</v>
      </c>
      <c r="I18" s="3">
        <v>5.0000000000000004E-6</v>
      </c>
      <c r="J18">
        <v>2.0699999999999999E-4</v>
      </c>
      <c r="K18">
        <v>2.3900000000000001E-4</v>
      </c>
      <c r="L18">
        <v>2.4000000000000001E-4</v>
      </c>
      <c r="M18">
        <v>2.7099999999999997E-4</v>
      </c>
      <c r="N18">
        <v>2.8400000000000002E-4</v>
      </c>
      <c r="O18">
        <v>3.1100000000000002E-4</v>
      </c>
      <c r="P18">
        <v>3.2000000000000003E-4</v>
      </c>
      <c r="Q18">
        <v>3.1399999999999999E-4</v>
      </c>
      <c r="R18">
        <v>3.1500000000000001E-4</v>
      </c>
      <c r="S18">
        <v>3.2600000000000001E-4</v>
      </c>
      <c r="T18">
        <v>3.2899999999999997E-4</v>
      </c>
      <c r="U18">
        <v>3.2299999999999999E-4</v>
      </c>
      <c r="V18">
        <v>3.2499999999999999E-4</v>
      </c>
      <c r="W18">
        <v>3.3E-4</v>
      </c>
      <c r="X18">
        <v>3.2600000000000001E-4</v>
      </c>
    </row>
    <row r="19" spans="1:25" x14ac:dyDescent="0.25">
      <c r="A19" t="s">
        <v>2</v>
      </c>
      <c r="B19" t="s">
        <v>22</v>
      </c>
      <c r="C19" s="3">
        <v>2.5000000000000001E-5</v>
      </c>
      <c r="D19" s="3">
        <v>2.5000000000000001E-5</v>
      </c>
      <c r="E19" s="3">
        <v>2.3E-5</v>
      </c>
      <c r="F19">
        <v>1.3300000000000001E-4</v>
      </c>
      <c r="G19" s="3">
        <v>2.4000000000000001E-5</v>
      </c>
      <c r="H19" s="3">
        <v>2.0999999999999999E-5</v>
      </c>
      <c r="I19" s="3">
        <v>2.1999999999999999E-5</v>
      </c>
      <c r="J19" s="3">
        <v>3.1000000000000001E-5</v>
      </c>
      <c r="K19" s="3">
        <v>3.3000000000000003E-5</v>
      </c>
      <c r="L19" s="3">
        <v>3.3000000000000003E-5</v>
      </c>
      <c r="M19" s="3">
        <v>3.4999999999999997E-5</v>
      </c>
      <c r="N19" s="3">
        <v>3.6000000000000001E-5</v>
      </c>
      <c r="O19" s="3">
        <v>3.6999999999999998E-5</v>
      </c>
      <c r="P19" s="3">
        <v>3.8000000000000002E-5</v>
      </c>
      <c r="Q19" s="3">
        <v>3.6999999999999998E-5</v>
      </c>
      <c r="R19" s="3">
        <v>3.6999999999999998E-5</v>
      </c>
      <c r="S19" s="3">
        <v>3.8000000000000002E-5</v>
      </c>
      <c r="T19" s="3">
        <v>3.8000000000000002E-5</v>
      </c>
      <c r="U19" s="3">
        <v>3.6999999999999998E-5</v>
      </c>
      <c r="V19" s="3">
        <v>3.8000000000000002E-5</v>
      </c>
      <c r="W19" s="3">
        <v>3.8000000000000002E-5</v>
      </c>
      <c r="X19" s="3">
        <v>3.6999999999999998E-5</v>
      </c>
    </row>
    <row r="20" spans="1:25" x14ac:dyDescent="0.25">
      <c r="A20" t="s">
        <v>2</v>
      </c>
      <c r="B20" t="s">
        <v>23</v>
      </c>
      <c r="C20">
        <v>1.8223</v>
      </c>
      <c r="D20">
        <v>1.4494</v>
      </c>
      <c r="E20">
        <v>9.7900000000000001E-2</v>
      </c>
      <c r="F20">
        <v>24.395800000000001</v>
      </c>
      <c r="G20">
        <v>-2.2452000000000001</v>
      </c>
      <c r="H20">
        <v>-3.0606</v>
      </c>
      <c r="I20">
        <v>-2.7858000000000001</v>
      </c>
      <c r="J20">
        <v>6.4890999999999996</v>
      </c>
      <c r="K20">
        <v>7.5571999999999999</v>
      </c>
      <c r="L20">
        <v>7.6802999999999999</v>
      </c>
      <c r="M20">
        <v>8.5756999999999994</v>
      </c>
      <c r="N20">
        <v>9.0905000000000005</v>
      </c>
      <c r="O20">
        <v>10.236700000000001</v>
      </c>
      <c r="P20">
        <v>10.430199999999999</v>
      </c>
      <c r="Q20">
        <v>10.5479</v>
      </c>
      <c r="R20">
        <v>10.66</v>
      </c>
      <c r="S20">
        <v>10.7387</v>
      </c>
      <c r="T20">
        <v>10.7554</v>
      </c>
      <c r="U20">
        <v>10.6622</v>
      </c>
      <c r="V20">
        <v>10.7226</v>
      </c>
      <c r="W20">
        <v>11.029199999999999</v>
      </c>
      <c r="X20">
        <v>10.960800000000001</v>
      </c>
    </row>
    <row r="21" spans="1:25" x14ac:dyDescent="0.25">
      <c r="A21" t="s">
        <v>2</v>
      </c>
      <c r="B21" t="s">
        <v>24</v>
      </c>
      <c r="C21">
        <v>0.1167</v>
      </c>
      <c r="D21">
        <v>0.1119</v>
      </c>
      <c r="E21">
        <v>0.10199999999999999</v>
      </c>
      <c r="F21">
        <v>1.6660999999999999</v>
      </c>
      <c r="G21">
        <v>9.2700000000000005E-2</v>
      </c>
      <c r="H21">
        <v>8.1199999999999994E-2</v>
      </c>
      <c r="I21">
        <v>8.6300000000000002E-2</v>
      </c>
      <c r="J21">
        <v>0.16159999999999999</v>
      </c>
      <c r="K21">
        <v>0.17249999999999999</v>
      </c>
      <c r="L21">
        <v>0.17419999999999999</v>
      </c>
      <c r="M21">
        <v>0.1913</v>
      </c>
      <c r="N21">
        <v>0.1946</v>
      </c>
      <c r="O21">
        <v>0.20449999999999999</v>
      </c>
      <c r="P21">
        <v>0.21129999999999999</v>
      </c>
      <c r="Q21">
        <v>0.20649999999999999</v>
      </c>
      <c r="R21">
        <v>0.2097</v>
      </c>
      <c r="S21">
        <v>0.21179999999999999</v>
      </c>
      <c r="T21">
        <v>0.21179999999999999</v>
      </c>
      <c r="U21">
        <v>0.20760000000000001</v>
      </c>
      <c r="V21">
        <v>0.21060000000000001</v>
      </c>
      <c r="W21">
        <v>0.2099</v>
      </c>
      <c r="X21">
        <v>0.21229999999999999</v>
      </c>
    </row>
    <row r="22" spans="1:25" x14ac:dyDescent="0.25">
      <c r="A22" t="s">
        <v>2</v>
      </c>
      <c r="B22" t="s">
        <v>25</v>
      </c>
      <c r="C22">
        <v>0.95</v>
      </c>
      <c r="D22">
        <v>0.95</v>
      </c>
      <c r="E22">
        <v>0.95</v>
      </c>
      <c r="F22">
        <v>0.95</v>
      </c>
      <c r="G22">
        <v>0.95</v>
      </c>
      <c r="H22">
        <v>0.95</v>
      </c>
      <c r="I22">
        <v>0.95</v>
      </c>
      <c r="J22">
        <v>0.95</v>
      </c>
      <c r="K22">
        <v>0.95</v>
      </c>
      <c r="L22">
        <v>0.95</v>
      </c>
      <c r="M22">
        <v>0.95</v>
      </c>
      <c r="N22">
        <v>0.95</v>
      </c>
      <c r="O22">
        <v>0.95</v>
      </c>
      <c r="P22">
        <v>0.95</v>
      </c>
      <c r="Q22">
        <v>0.95</v>
      </c>
      <c r="R22">
        <v>0.95</v>
      </c>
      <c r="S22">
        <v>0.95</v>
      </c>
      <c r="T22">
        <v>0.95</v>
      </c>
      <c r="U22">
        <v>0.95</v>
      </c>
      <c r="V22">
        <v>0.95</v>
      </c>
      <c r="W22">
        <v>0.95</v>
      </c>
      <c r="X22">
        <v>0.95</v>
      </c>
    </row>
    <row r="23" spans="1:25" x14ac:dyDescent="0.25">
      <c r="A23" t="s">
        <v>2</v>
      </c>
      <c r="B23" t="s">
        <v>26</v>
      </c>
      <c r="C23" t="s">
        <v>27</v>
      </c>
      <c r="D23" t="s">
        <v>27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27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27</v>
      </c>
      <c r="S23" t="s">
        <v>27</v>
      </c>
      <c r="T23" t="s">
        <v>27</v>
      </c>
      <c r="U23" t="s">
        <v>27</v>
      </c>
      <c r="V23" t="s">
        <v>27</v>
      </c>
      <c r="W23" t="s">
        <v>27</v>
      </c>
      <c r="X23" t="s">
        <v>27</v>
      </c>
      <c r="Y23" t="s">
        <v>27</v>
      </c>
    </row>
    <row r="24" spans="1:25" x14ac:dyDescent="0.25">
      <c r="A24" t="s">
        <v>2</v>
      </c>
      <c r="B24" t="s">
        <v>28</v>
      </c>
      <c r="C24" t="s">
        <v>29</v>
      </c>
      <c r="D24" t="s">
        <v>29</v>
      </c>
      <c r="E24" t="s">
        <v>29</v>
      </c>
      <c r="F24" t="s">
        <v>29</v>
      </c>
      <c r="G24" t="s">
        <v>29</v>
      </c>
      <c r="H24" t="s">
        <v>29</v>
      </c>
      <c r="I24" t="s">
        <v>29</v>
      </c>
      <c r="J24" t="s">
        <v>29</v>
      </c>
      <c r="K24" t="s">
        <v>29</v>
      </c>
      <c r="L24" t="s">
        <v>29</v>
      </c>
      <c r="M24" t="s">
        <v>29</v>
      </c>
      <c r="N24" t="s">
        <v>29</v>
      </c>
      <c r="O24" t="s">
        <v>29</v>
      </c>
      <c r="P24" t="s">
        <v>29</v>
      </c>
      <c r="Q24" t="s">
        <v>29</v>
      </c>
      <c r="R24" t="s">
        <v>29</v>
      </c>
      <c r="S24" t="s">
        <v>29</v>
      </c>
      <c r="T24" t="s">
        <v>29</v>
      </c>
      <c r="U24" t="s">
        <v>29</v>
      </c>
      <c r="V24" t="s">
        <v>29</v>
      </c>
      <c r="W24" t="s">
        <v>29</v>
      </c>
      <c r="X24" t="s">
        <v>29</v>
      </c>
      <c r="Y24" t="s">
        <v>29</v>
      </c>
    </row>
    <row r="25" spans="1:25" x14ac:dyDescent="0.25">
      <c r="A25" t="s">
        <v>2</v>
      </c>
      <c r="B25" t="s">
        <v>30</v>
      </c>
      <c r="C25" t="s">
        <v>31</v>
      </c>
      <c r="D25" t="s">
        <v>31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31</v>
      </c>
      <c r="K25" t="s">
        <v>31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 t="s">
        <v>31</v>
      </c>
      <c r="Y25" t="s">
        <v>31</v>
      </c>
    </row>
    <row r="26" spans="1:25" x14ac:dyDescent="0.25">
      <c r="A26" t="s">
        <v>32</v>
      </c>
      <c r="B26" t="s">
        <v>33</v>
      </c>
      <c r="C26">
        <v>-4.2948899999999997</v>
      </c>
      <c r="D26">
        <v>-4.2742699999999996</v>
      </c>
      <c r="E26">
        <v>-4.2218</v>
      </c>
      <c r="F26">
        <v>-0.65710199999999996</v>
      </c>
      <c r="G26">
        <v>-4.1711400000000003</v>
      </c>
      <c r="H26">
        <v>-4.1243499999999997</v>
      </c>
      <c r="I26">
        <v>-4.1373899999999999</v>
      </c>
      <c r="J26">
        <v>-4.4474299999999998</v>
      </c>
      <c r="K26">
        <v>-4.4877200000000004</v>
      </c>
      <c r="L26">
        <v>-4.4862799999999998</v>
      </c>
      <c r="M26">
        <v>-4.5131399999999999</v>
      </c>
      <c r="N26">
        <v>-4.5297900000000002</v>
      </c>
      <c r="O26">
        <v>-4.5673599999999999</v>
      </c>
      <c r="P26">
        <v>-4.5740499999999997</v>
      </c>
      <c r="Q26">
        <v>-4.5787000000000004</v>
      </c>
      <c r="R26">
        <v>-4.58108</v>
      </c>
      <c r="S26">
        <v>-4.5832300000000004</v>
      </c>
      <c r="T26">
        <v>-4.5771600000000001</v>
      </c>
      <c r="U26">
        <v>-4.5774699999999999</v>
      </c>
      <c r="V26">
        <v>-4.5851899999999999</v>
      </c>
      <c r="W26">
        <v>-4.5843699999999998</v>
      </c>
      <c r="X26">
        <v>-4.58</v>
      </c>
      <c r="Y26">
        <v>-3.9171999999999998</v>
      </c>
    </row>
    <row r="27" spans="1:25" x14ac:dyDescent="0.25">
      <c r="A27" t="s">
        <v>32</v>
      </c>
      <c r="B27" t="s">
        <v>34</v>
      </c>
      <c r="C27">
        <v>-4.5304200000000003</v>
      </c>
      <c r="D27">
        <v>-4.5454299999999996</v>
      </c>
      <c r="E27">
        <v>-4.5613099999999998</v>
      </c>
      <c r="F27">
        <v>-6.1475099999999996</v>
      </c>
      <c r="G27">
        <v>-4.61721</v>
      </c>
      <c r="H27">
        <v>-4.6656500000000003</v>
      </c>
      <c r="I27">
        <v>-4.6521699999999999</v>
      </c>
      <c r="J27">
        <v>-4.3400299999999996</v>
      </c>
      <c r="K27">
        <v>-4.3052200000000003</v>
      </c>
      <c r="L27">
        <v>-4.3036500000000002</v>
      </c>
      <c r="M27">
        <v>-4.1848999999999998</v>
      </c>
      <c r="N27">
        <v>-4.1228999999999996</v>
      </c>
      <c r="O27">
        <v>-4.1109</v>
      </c>
      <c r="P27">
        <v>-4.1041100000000004</v>
      </c>
      <c r="Q27">
        <v>-4.0956200000000003</v>
      </c>
      <c r="R27">
        <v>-4.1019899999999998</v>
      </c>
      <c r="S27">
        <v>-4.1036299999999999</v>
      </c>
      <c r="T27">
        <v>-4.1105799999999997</v>
      </c>
      <c r="U27">
        <v>-4.1077599999999999</v>
      </c>
      <c r="V27">
        <v>-4.1027199999999997</v>
      </c>
      <c r="W27">
        <v>-4.1143000000000001</v>
      </c>
      <c r="X27">
        <v>-4.11761</v>
      </c>
      <c r="Y27">
        <v>-4.9127000000000001</v>
      </c>
    </row>
    <row r="28" spans="1:25" x14ac:dyDescent="0.25">
      <c r="A28" t="s">
        <v>32</v>
      </c>
      <c r="B28" t="s">
        <v>35</v>
      </c>
      <c r="C28">
        <v>0.99355000000000004</v>
      </c>
      <c r="D28">
        <v>0.993035</v>
      </c>
      <c r="E28">
        <v>0.98918499999999998</v>
      </c>
      <c r="F28">
        <v>0.98397900000000005</v>
      </c>
      <c r="G28">
        <v>0.99031000000000002</v>
      </c>
      <c r="H28">
        <v>0.99109700000000001</v>
      </c>
      <c r="I28">
        <v>0.99086799999999997</v>
      </c>
      <c r="J28">
        <v>0.98901099999999997</v>
      </c>
      <c r="K28">
        <v>0.98976600000000003</v>
      </c>
      <c r="L28">
        <v>0.98942799999999997</v>
      </c>
      <c r="M28">
        <v>0.97957099999999997</v>
      </c>
      <c r="N28">
        <v>0.97484599999999999</v>
      </c>
      <c r="O28">
        <v>0.97799800000000003</v>
      </c>
      <c r="P28">
        <v>0.97806700000000002</v>
      </c>
      <c r="Q28">
        <v>0.97771699999999995</v>
      </c>
      <c r="R28">
        <v>0.97867499999999996</v>
      </c>
      <c r="S28">
        <v>0.97910399999999997</v>
      </c>
      <c r="T28">
        <v>0.97912299999999997</v>
      </c>
      <c r="U28">
        <v>0.97885999999999995</v>
      </c>
      <c r="V28">
        <v>0.97924</v>
      </c>
      <c r="W28">
        <v>0.98037399999999997</v>
      </c>
      <c r="X28">
        <v>0.98020700000000005</v>
      </c>
      <c r="Y28">
        <v>1.0000100000000001</v>
      </c>
    </row>
    <row r="29" spans="1:25" x14ac:dyDescent="0.25">
      <c r="A29" t="s">
        <v>32</v>
      </c>
      <c r="B29" t="s">
        <v>36</v>
      </c>
      <c r="C29">
        <v>0.68799100000000002</v>
      </c>
      <c r="D29">
        <v>0.68504399999999999</v>
      </c>
      <c r="E29">
        <v>0.67926600000000004</v>
      </c>
      <c r="F29">
        <v>0.106284</v>
      </c>
      <c r="G29">
        <v>0.67035299999999998</v>
      </c>
      <c r="H29">
        <v>0.66230699999999998</v>
      </c>
      <c r="I29">
        <v>0.66455399999999998</v>
      </c>
      <c r="J29">
        <v>0.715696</v>
      </c>
      <c r="K29">
        <v>0.72162700000000002</v>
      </c>
      <c r="L29">
        <v>0.72164300000000003</v>
      </c>
      <c r="M29">
        <v>0.73326899999999995</v>
      </c>
      <c r="N29">
        <v>0.739541</v>
      </c>
      <c r="O29">
        <v>0.74327200000000004</v>
      </c>
      <c r="P29">
        <v>0.74430799999999997</v>
      </c>
      <c r="Q29">
        <v>0.74533099999999997</v>
      </c>
      <c r="R29">
        <v>0.74498799999999998</v>
      </c>
      <c r="S29">
        <v>0.74501099999999998</v>
      </c>
      <c r="T29">
        <v>0.74401099999999998</v>
      </c>
      <c r="U29">
        <v>0.74426099999999995</v>
      </c>
      <c r="V29">
        <v>0.74522699999999997</v>
      </c>
      <c r="W29">
        <v>0.744232</v>
      </c>
      <c r="X29">
        <v>0.743649</v>
      </c>
      <c r="Y29">
        <v>0.62343700000000002</v>
      </c>
    </row>
    <row r="30" spans="1:25" x14ac:dyDescent="0.25">
      <c r="A30" t="s">
        <v>37</v>
      </c>
      <c r="B30" t="s">
        <v>33</v>
      </c>
      <c r="C30">
        <v>-411.86900000000003</v>
      </c>
      <c r="D30">
        <v>-411.52100000000002</v>
      </c>
      <c r="E30">
        <v>-410.61</v>
      </c>
      <c r="F30">
        <v>-1039.5999999999999</v>
      </c>
      <c r="G30">
        <v>-407.78</v>
      </c>
      <c r="H30">
        <v>-409.18700000000001</v>
      </c>
      <c r="I30">
        <v>-408.66</v>
      </c>
      <c r="J30">
        <v>-416.04199999999997</v>
      </c>
      <c r="K30">
        <v>-416.3</v>
      </c>
      <c r="L30">
        <v>-417.28699999999998</v>
      </c>
      <c r="M30">
        <v>-419.02600000000001</v>
      </c>
      <c r="N30">
        <v>-419.56799999999998</v>
      </c>
      <c r="O30">
        <v>-419.93</v>
      </c>
      <c r="P30">
        <v>-420.62299999999999</v>
      </c>
      <c r="Q30">
        <v>-420.10599999999999</v>
      </c>
      <c r="R30">
        <v>-420.66899999999998</v>
      </c>
      <c r="S30">
        <v>-420.065</v>
      </c>
      <c r="T30">
        <v>-421.387</v>
      </c>
      <c r="U30">
        <v>-421.15100000000001</v>
      </c>
      <c r="V30">
        <v>-419.98700000000002</v>
      </c>
      <c r="W30">
        <v>-422.29500000000002</v>
      </c>
      <c r="X30">
        <v>-422.35399999999998</v>
      </c>
      <c r="Y30">
        <v>-420.97</v>
      </c>
    </row>
    <row r="31" spans="1:25" x14ac:dyDescent="0.25">
      <c r="A31" t="s">
        <v>37</v>
      </c>
      <c r="B31" t="s">
        <v>34</v>
      </c>
    </row>
    <row r="32" spans="1:25" x14ac:dyDescent="0.25">
      <c r="A32" t="s">
        <v>37</v>
      </c>
      <c r="B32" t="s">
        <v>35</v>
      </c>
      <c r="C32">
        <v>-65.551000000000002</v>
      </c>
      <c r="D32">
        <v>-65.495599999999996</v>
      </c>
      <c r="E32">
        <v>-65.3506</v>
      </c>
      <c r="F32">
        <v>-165.45699999999999</v>
      </c>
      <c r="G32">
        <v>-64.900300000000001</v>
      </c>
      <c r="H32">
        <v>-65.124099999999999</v>
      </c>
      <c r="I32">
        <v>-65.040300000000002</v>
      </c>
      <c r="J32">
        <v>-66.215199999999996</v>
      </c>
      <c r="K32">
        <v>-66.256200000000007</v>
      </c>
      <c r="L32">
        <v>-66.413300000000007</v>
      </c>
      <c r="M32">
        <v>-66.690100000000001</v>
      </c>
      <c r="N32">
        <v>-66.776399999999995</v>
      </c>
      <c r="O32">
        <v>-66.8339</v>
      </c>
      <c r="P32">
        <v>-66.944199999999995</v>
      </c>
      <c r="Q32">
        <v>-66.861999999999995</v>
      </c>
      <c r="R32">
        <v>-66.951599999999999</v>
      </c>
      <c r="S32">
        <v>-66.855500000000006</v>
      </c>
      <c r="T32">
        <v>-67.065799999999996</v>
      </c>
      <c r="U32">
        <v>-67.028300000000002</v>
      </c>
      <c r="V32">
        <v>-66.843100000000007</v>
      </c>
      <c r="W32">
        <v>-67.210300000000004</v>
      </c>
      <c r="X32">
        <v>-67.219800000000006</v>
      </c>
      <c r="Y32">
        <v>-66.999499999999998</v>
      </c>
    </row>
    <row r="33" spans="1:25" x14ac:dyDescent="0.25">
      <c r="A33" t="s">
        <v>37</v>
      </c>
      <c r="B33" t="s">
        <v>36</v>
      </c>
    </row>
    <row r="34" spans="1:25" x14ac:dyDescent="0.25">
      <c r="A34" t="s">
        <v>38</v>
      </c>
      <c r="B34" t="s">
        <v>33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t="s">
        <v>38</v>
      </c>
      <c r="B35" t="s">
        <v>35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t="s">
        <v>39</v>
      </c>
      <c r="B36" t="s">
        <v>33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">
        <v>39</v>
      </c>
      <c r="B37" t="s">
        <v>35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t="s">
        <v>40</v>
      </c>
      <c r="B38" t="s">
        <v>41</v>
      </c>
      <c r="C38">
        <v>4</v>
      </c>
      <c r="D38">
        <v>4</v>
      </c>
      <c r="E38">
        <v>4</v>
      </c>
      <c r="F38">
        <v>4</v>
      </c>
      <c r="G38">
        <v>4</v>
      </c>
      <c r="H38">
        <v>4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</row>
    <row r="39" spans="1:25" x14ac:dyDescent="0.25">
      <c r="A39" t="s">
        <v>42</v>
      </c>
      <c r="B39" t="s">
        <v>43</v>
      </c>
      <c r="C39">
        <v>15914</v>
      </c>
      <c r="D39">
        <v>15840.4</v>
      </c>
      <c r="E39">
        <v>15624</v>
      </c>
      <c r="F39">
        <v>18881.7</v>
      </c>
      <c r="G39">
        <v>15247.3</v>
      </c>
      <c r="H39">
        <v>15101.6</v>
      </c>
      <c r="I39">
        <v>15156.1</v>
      </c>
      <c r="J39">
        <v>16667.900000000001</v>
      </c>
      <c r="K39">
        <v>16842.599999999999</v>
      </c>
      <c r="L39">
        <v>16870.599999999999</v>
      </c>
      <c r="M39">
        <v>17004.099999999999</v>
      </c>
      <c r="N39">
        <v>17083</v>
      </c>
      <c r="O39">
        <v>17259.900000000001</v>
      </c>
      <c r="P39">
        <v>17297.8</v>
      </c>
      <c r="Q39">
        <v>17311.400000000001</v>
      </c>
      <c r="R39">
        <v>17331.400000000001</v>
      </c>
      <c r="S39">
        <v>17343.400000000001</v>
      </c>
      <c r="T39">
        <v>17351.599999999999</v>
      </c>
      <c r="U39">
        <v>17334</v>
      </c>
      <c r="V39">
        <v>17344.8</v>
      </c>
      <c r="W39">
        <v>17393.400000000001</v>
      </c>
      <c r="X39">
        <v>17384.8</v>
      </c>
      <c r="Y39">
        <v>15646.9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5"/>
  <sheetViews>
    <sheetView topLeftCell="E1" workbookViewId="0">
      <selection activeCell="AE3" sqref="AE3:AH25"/>
    </sheetView>
  </sheetViews>
  <sheetFormatPr defaultRowHeight="15" x14ac:dyDescent="0.25"/>
  <cols>
    <col min="1" max="1" width="6" bestFit="1" customWidth="1"/>
    <col min="2" max="2" width="15.5703125" style="1" bestFit="1" customWidth="1"/>
    <col min="3" max="3" width="14" bestFit="1" customWidth="1"/>
    <col min="4" max="4" width="6" style="10" bestFit="1" customWidth="1"/>
    <col min="5" max="5" width="13.28515625" bestFit="1" customWidth="1"/>
    <col min="6" max="10" width="6" bestFit="1" customWidth="1"/>
    <col min="11" max="12" width="6.140625" bestFit="1" customWidth="1"/>
    <col min="13" max="13" width="8" bestFit="1" customWidth="1"/>
    <col min="14" max="17" width="6" bestFit="1" customWidth="1"/>
    <col min="18" max="18" width="9.7109375" bestFit="1" customWidth="1"/>
    <col min="19" max="19" width="9" bestFit="1" customWidth="1"/>
    <col min="20" max="20" width="8" bestFit="1" customWidth="1"/>
    <col min="21" max="21" width="7" bestFit="1" customWidth="1"/>
    <col min="22" max="22" width="6" bestFit="1" customWidth="1"/>
    <col min="23" max="23" width="7.42578125" bestFit="1" customWidth="1"/>
    <col min="24" max="26" width="6" bestFit="1" customWidth="1"/>
    <col min="27" max="28" width="8" style="8" bestFit="1" customWidth="1"/>
    <col min="29" max="29" width="7.28515625" style="6" bestFit="1" customWidth="1"/>
    <col min="30" max="30" width="10.140625" bestFit="1" customWidth="1"/>
  </cols>
  <sheetData>
    <row r="1" spans="1:34" x14ac:dyDescent="0.25">
      <c r="A1" t="s">
        <v>0</v>
      </c>
      <c r="B1" s="1" t="s">
        <v>2</v>
      </c>
      <c r="C1" t="s">
        <v>2</v>
      </c>
      <c r="D1" s="10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40</v>
      </c>
      <c r="X1" t="s">
        <v>2</v>
      </c>
      <c r="Y1" t="s">
        <v>2</v>
      </c>
      <c r="Z1" t="s">
        <v>2</v>
      </c>
      <c r="AA1" s="8" t="s">
        <v>32</v>
      </c>
      <c r="AB1" s="8" t="s">
        <v>32</v>
      </c>
      <c r="AC1" s="6" t="s">
        <v>37</v>
      </c>
      <c r="AD1" t="s">
        <v>42</v>
      </c>
      <c r="AE1" s="8" t="s">
        <v>32</v>
      </c>
      <c r="AF1" s="8" t="s">
        <v>32</v>
      </c>
      <c r="AG1" s="6" t="s">
        <v>37</v>
      </c>
      <c r="AH1" t="s">
        <v>42</v>
      </c>
    </row>
    <row r="2" spans="1:34" s="4" customFormat="1" ht="132.75" x14ac:dyDescent="0.25">
      <c r="A2" s="4" t="s">
        <v>1</v>
      </c>
      <c r="B2" s="5" t="s">
        <v>3</v>
      </c>
      <c r="C2" s="4" t="s">
        <v>4</v>
      </c>
      <c r="D2" s="11" t="s">
        <v>44</v>
      </c>
      <c r="E2" s="4" t="s">
        <v>7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4" t="s">
        <v>19</v>
      </c>
      <c r="Q2" s="4" t="s">
        <v>20</v>
      </c>
      <c r="R2" s="4" t="s">
        <v>21</v>
      </c>
      <c r="S2" s="4" t="s">
        <v>22</v>
      </c>
      <c r="T2" s="4" t="s">
        <v>23</v>
      </c>
      <c r="U2" s="4" t="s">
        <v>24</v>
      </c>
      <c r="V2" s="4" t="s">
        <v>25</v>
      </c>
      <c r="W2" s="4" t="s">
        <v>41</v>
      </c>
      <c r="X2" s="4" t="s">
        <v>26</v>
      </c>
      <c r="Y2" s="4" t="s">
        <v>28</v>
      </c>
      <c r="Z2" s="4" t="s">
        <v>30</v>
      </c>
      <c r="AA2" s="9" t="s">
        <v>35</v>
      </c>
      <c r="AB2" s="9" t="s">
        <v>36</v>
      </c>
      <c r="AC2" s="7" t="s">
        <v>35</v>
      </c>
      <c r="AD2" s="4" t="s">
        <v>43</v>
      </c>
      <c r="AE2" s="9" t="s">
        <v>35</v>
      </c>
      <c r="AF2" s="9" t="s">
        <v>36</v>
      </c>
      <c r="AG2" s="7" t="s">
        <v>35</v>
      </c>
      <c r="AH2" s="4" t="s">
        <v>43</v>
      </c>
    </row>
    <row r="3" spans="1:34" x14ac:dyDescent="0.25">
      <c r="A3">
        <v>21</v>
      </c>
      <c r="B3" s="1">
        <v>43840.645514467593</v>
      </c>
      <c r="C3" t="s">
        <v>5</v>
      </c>
      <c r="D3" s="10">
        <v>-36</v>
      </c>
      <c r="E3" t="s">
        <v>8</v>
      </c>
      <c r="F3">
        <v>0</v>
      </c>
      <c r="G3">
        <v>0.02</v>
      </c>
      <c r="H3">
        <v>16</v>
      </c>
      <c r="I3">
        <v>5</v>
      </c>
      <c r="J3">
        <v>5</v>
      </c>
      <c r="K3" t="b">
        <v>0</v>
      </c>
      <c r="L3" t="b">
        <v>0</v>
      </c>
      <c r="M3">
        <v>604</v>
      </c>
      <c r="N3">
        <v>0</v>
      </c>
      <c r="O3">
        <v>0</v>
      </c>
      <c r="P3">
        <v>40</v>
      </c>
      <c r="Q3">
        <v>23</v>
      </c>
      <c r="R3">
        <v>3.2600000000000001E-4</v>
      </c>
      <c r="S3" s="3">
        <v>3.6999999999999998E-5</v>
      </c>
      <c r="T3">
        <v>10.960800000000001</v>
      </c>
      <c r="U3">
        <v>0.21229999999999999</v>
      </c>
      <c r="V3">
        <v>0.95</v>
      </c>
      <c r="W3">
        <v>4</v>
      </c>
      <c r="X3" t="s">
        <v>27</v>
      </c>
      <c r="Y3" t="s">
        <v>29</v>
      </c>
      <c r="Z3" t="s">
        <v>31</v>
      </c>
      <c r="AA3" s="8">
        <v>0.98020700000000005</v>
      </c>
      <c r="AB3" s="8">
        <v>0.743649</v>
      </c>
      <c r="AC3" s="6">
        <v>67.219800000000006</v>
      </c>
      <c r="AD3">
        <v>17384.8</v>
      </c>
      <c r="AE3" s="12">
        <f>100*(AA3/AA$24-1)</f>
        <v>-1.9802801971980255</v>
      </c>
      <c r="AF3" s="12">
        <f t="shared" ref="AF3:AF25" si="0">100*(AB3/AB$24-1)</f>
        <v>19.282140777656753</v>
      </c>
      <c r="AG3" s="12">
        <f t="shared" ref="AG3:AG25" si="1">100*(AC3/AC$24-1)</f>
        <v>0.32880842394347187</v>
      </c>
      <c r="AH3" s="12">
        <f t="shared" ref="AH3:AH25" si="2">100*(AD3/AD$24-1)</f>
        <v>11.106992439396945</v>
      </c>
    </row>
    <row r="4" spans="1:34" x14ac:dyDescent="0.25">
      <c r="A4">
        <v>20</v>
      </c>
      <c r="B4" s="1">
        <v>43839.672563078704</v>
      </c>
      <c r="C4" t="s">
        <v>5</v>
      </c>
      <c r="D4" s="10">
        <v>-35.69</v>
      </c>
      <c r="E4" t="s">
        <v>8</v>
      </c>
      <c r="F4">
        <v>0</v>
      </c>
      <c r="G4">
        <v>0.02</v>
      </c>
      <c r="H4">
        <v>16</v>
      </c>
      <c r="I4">
        <v>5</v>
      </c>
      <c r="J4">
        <v>5</v>
      </c>
      <c r="K4" t="b">
        <v>0</v>
      </c>
      <c r="L4" t="b">
        <v>0</v>
      </c>
      <c r="M4">
        <v>604</v>
      </c>
      <c r="N4">
        <v>0</v>
      </c>
      <c r="O4">
        <v>0</v>
      </c>
      <c r="P4">
        <v>40</v>
      </c>
      <c r="Q4">
        <v>23</v>
      </c>
      <c r="R4">
        <v>3.3E-4</v>
      </c>
      <c r="S4" s="3">
        <v>3.8000000000000002E-5</v>
      </c>
      <c r="T4">
        <v>11.029199999999999</v>
      </c>
      <c r="U4">
        <v>0.2099</v>
      </c>
      <c r="V4">
        <v>0.95</v>
      </c>
      <c r="W4">
        <v>4</v>
      </c>
      <c r="X4" t="s">
        <v>27</v>
      </c>
      <c r="Y4" t="s">
        <v>29</v>
      </c>
      <c r="Z4" t="s">
        <v>31</v>
      </c>
      <c r="AA4" s="8">
        <v>0.98037399999999997</v>
      </c>
      <c r="AB4" s="8">
        <v>0.744232</v>
      </c>
      <c r="AC4" s="6">
        <v>67.210300000000004</v>
      </c>
      <c r="AD4">
        <v>17393.400000000001</v>
      </c>
      <c r="AE4" s="12">
        <f t="shared" ref="AE4:AE25" si="3">100*(AA4/AA$24-1)</f>
        <v>-1.9635803641963712</v>
      </c>
      <c r="AF4" s="12">
        <f t="shared" si="0"/>
        <v>19.375654637116501</v>
      </c>
      <c r="AG4" s="12">
        <f t="shared" si="1"/>
        <v>0.31462921365086327</v>
      </c>
      <c r="AH4" s="12">
        <f t="shared" si="2"/>
        <v>11.161955403306735</v>
      </c>
    </row>
    <row r="5" spans="1:34" x14ac:dyDescent="0.25">
      <c r="A5">
        <v>19</v>
      </c>
      <c r="B5" s="1">
        <v>43838.739618055559</v>
      </c>
      <c r="C5" t="s">
        <v>5</v>
      </c>
      <c r="D5" s="10">
        <v>-34.44</v>
      </c>
      <c r="E5" t="s">
        <v>8</v>
      </c>
      <c r="F5">
        <v>0</v>
      </c>
      <c r="G5">
        <v>0.02</v>
      </c>
      <c r="H5">
        <v>16</v>
      </c>
      <c r="I5">
        <v>5</v>
      </c>
      <c r="J5">
        <v>5</v>
      </c>
      <c r="K5" t="b">
        <v>0</v>
      </c>
      <c r="L5" t="b">
        <v>0</v>
      </c>
      <c r="M5">
        <v>603.97500000000002</v>
      </c>
      <c r="N5">
        <v>0</v>
      </c>
      <c r="O5">
        <v>2.5000000000000001E-2</v>
      </c>
      <c r="P5">
        <v>40</v>
      </c>
      <c r="Q5">
        <v>23</v>
      </c>
      <c r="R5">
        <v>3.2499999999999999E-4</v>
      </c>
      <c r="S5" s="3">
        <v>3.8000000000000002E-5</v>
      </c>
      <c r="T5">
        <v>10.7226</v>
      </c>
      <c r="U5">
        <v>0.21060000000000001</v>
      </c>
      <c r="V5">
        <v>0.95</v>
      </c>
      <c r="W5">
        <v>4</v>
      </c>
      <c r="X5" t="s">
        <v>27</v>
      </c>
      <c r="Y5" t="s">
        <v>29</v>
      </c>
      <c r="Z5" t="s">
        <v>31</v>
      </c>
      <c r="AA5" s="8">
        <v>0.97924</v>
      </c>
      <c r="AB5" s="8">
        <v>0.74522699999999997</v>
      </c>
      <c r="AC5" s="6">
        <v>66.843100000000007</v>
      </c>
      <c r="AD5">
        <v>17344.8</v>
      </c>
      <c r="AE5" s="12">
        <f t="shared" si="3"/>
        <v>-2.0769792302077095</v>
      </c>
      <c r="AF5" s="12">
        <f t="shared" si="0"/>
        <v>19.535253762609518</v>
      </c>
      <c r="AG5" s="12">
        <f t="shared" si="1"/>
        <v>-0.23343457786997313</v>
      </c>
      <c r="AH5" s="12">
        <f t="shared" si="2"/>
        <v>10.851350746793287</v>
      </c>
    </row>
    <row r="6" spans="1:34" x14ac:dyDescent="0.25">
      <c r="A6">
        <v>18</v>
      </c>
      <c r="B6" s="1">
        <v>43838.637685185182</v>
      </c>
      <c r="C6" t="s">
        <v>5</v>
      </c>
      <c r="D6" s="10">
        <v>-34.119999999999997</v>
      </c>
      <c r="E6" t="s">
        <v>8</v>
      </c>
      <c r="F6">
        <v>0</v>
      </c>
      <c r="G6">
        <v>0.02</v>
      </c>
      <c r="H6">
        <v>16</v>
      </c>
      <c r="I6">
        <v>5</v>
      </c>
      <c r="J6">
        <v>5</v>
      </c>
      <c r="K6" t="b">
        <v>0</v>
      </c>
      <c r="L6" t="b">
        <v>0</v>
      </c>
      <c r="M6">
        <v>603.6</v>
      </c>
      <c r="N6">
        <v>0.4</v>
      </c>
      <c r="O6">
        <v>0</v>
      </c>
      <c r="P6">
        <v>40</v>
      </c>
      <c r="Q6">
        <v>23</v>
      </c>
      <c r="R6">
        <v>3.2299999999999999E-4</v>
      </c>
      <c r="S6" s="3">
        <v>3.6999999999999998E-5</v>
      </c>
      <c r="T6">
        <v>10.6622</v>
      </c>
      <c r="U6">
        <v>0.20760000000000001</v>
      </c>
      <c r="V6">
        <v>0.95</v>
      </c>
      <c r="W6">
        <v>4</v>
      </c>
      <c r="X6" t="s">
        <v>27</v>
      </c>
      <c r="Y6" t="s">
        <v>29</v>
      </c>
      <c r="Z6" t="s">
        <v>31</v>
      </c>
      <c r="AA6" s="8">
        <v>0.97885999999999995</v>
      </c>
      <c r="AB6" s="8">
        <v>0.74426099999999995</v>
      </c>
      <c r="AC6" s="6">
        <v>67.028300000000002</v>
      </c>
      <c r="AD6">
        <v>17334</v>
      </c>
      <c r="AE6" s="12">
        <f t="shared" si="3"/>
        <v>-2.114978850211513</v>
      </c>
      <c r="AF6" s="12">
        <f t="shared" si="0"/>
        <v>19.380306269919799</v>
      </c>
      <c r="AG6" s="12">
        <f t="shared" si="1"/>
        <v>4.2985395413408511E-2</v>
      </c>
      <c r="AH6" s="12">
        <f t="shared" si="2"/>
        <v>10.782327489790312</v>
      </c>
    </row>
    <row r="7" spans="1:34" x14ac:dyDescent="0.25">
      <c r="A7">
        <v>17</v>
      </c>
      <c r="B7" s="1">
        <v>43845.759884259256</v>
      </c>
      <c r="C7" t="s">
        <v>5</v>
      </c>
      <c r="D7" s="10">
        <v>-33.81</v>
      </c>
      <c r="E7" t="s">
        <v>8</v>
      </c>
      <c r="F7">
        <v>0</v>
      </c>
      <c r="G7">
        <v>0.02</v>
      </c>
      <c r="H7">
        <v>16</v>
      </c>
      <c r="I7">
        <v>5</v>
      </c>
      <c r="J7">
        <v>5</v>
      </c>
      <c r="K7" t="b">
        <v>0</v>
      </c>
      <c r="L7" t="b">
        <v>0</v>
      </c>
      <c r="M7">
        <v>603.54999999999995</v>
      </c>
      <c r="N7">
        <v>0.45</v>
      </c>
      <c r="O7">
        <v>0</v>
      </c>
      <c r="P7">
        <v>40</v>
      </c>
      <c r="Q7">
        <v>23</v>
      </c>
      <c r="R7">
        <v>3.2899999999999997E-4</v>
      </c>
      <c r="S7" s="3">
        <v>3.8000000000000002E-5</v>
      </c>
      <c r="T7">
        <v>10.7554</v>
      </c>
      <c r="U7">
        <v>0.21179999999999999</v>
      </c>
      <c r="V7">
        <v>0.95</v>
      </c>
      <c r="W7">
        <v>4</v>
      </c>
      <c r="X7" t="s">
        <v>27</v>
      </c>
      <c r="Y7" t="s">
        <v>29</v>
      </c>
      <c r="Z7" t="s">
        <v>31</v>
      </c>
      <c r="AA7" s="8">
        <v>0.97912299999999997</v>
      </c>
      <c r="AB7" s="8">
        <v>0.74401099999999998</v>
      </c>
      <c r="AC7" s="6">
        <v>67.065799999999996</v>
      </c>
      <c r="AD7">
        <v>17351.599999999999</v>
      </c>
      <c r="AE7" s="12">
        <f t="shared" si="3"/>
        <v>-2.08867911320888</v>
      </c>
      <c r="AF7" s="12">
        <f t="shared" si="0"/>
        <v>19.34020598713262</v>
      </c>
      <c r="AG7" s="12">
        <f t="shared" si="1"/>
        <v>9.895596235791615E-2</v>
      </c>
      <c r="AH7" s="12">
        <f t="shared" si="2"/>
        <v>10.894809834535902</v>
      </c>
    </row>
    <row r="8" spans="1:34" x14ac:dyDescent="0.25">
      <c r="A8">
        <v>16</v>
      </c>
      <c r="B8" s="1">
        <v>43845.775208333333</v>
      </c>
      <c r="C8" t="s">
        <v>5</v>
      </c>
      <c r="D8" s="10">
        <v>-33.5</v>
      </c>
      <c r="E8" t="s">
        <v>8</v>
      </c>
      <c r="F8">
        <v>0</v>
      </c>
      <c r="G8">
        <v>0.02</v>
      </c>
      <c r="H8">
        <v>16</v>
      </c>
      <c r="I8">
        <v>5</v>
      </c>
      <c r="J8">
        <v>5</v>
      </c>
      <c r="K8" t="b">
        <v>0</v>
      </c>
      <c r="L8" t="b">
        <v>0</v>
      </c>
      <c r="M8">
        <v>604</v>
      </c>
      <c r="N8">
        <v>0</v>
      </c>
      <c r="O8">
        <v>0</v>
      </c>
      <c r="P8">
        <v>40</v>
      </c>
      <c r="Q8">
        <v>23</v>
      </c>
      <c r="R8">
        <v>3.2600000000000001E-4</v>
      </c>
      <c r="S8" s="3">
        <v>3.8000000000000002E-5</v>
      </c>
      <c r="T8">
        <v>10.7387</v>
      </c>
      <c r="U8">
        <v>0.21179999999999999</v>
      </c>
      <c r="V8">
        <v>0.95</v>
      </c>
      <c r="W8">
        <v>4</v>
      </c>
      <c r="X8" t="s">
        <v>27</v>
      </c>
      <c r="Y8" t="s">
        <v>29</v>
      </c>
      <c r="Z8" t="s">
        <v>31</v>
      </c>
      <c r="AA8" s="8">
        <v>0.97910399999999997</v>
      </c>
      <c r="AB8" s="8">
        <v>0.74501099999999998</v>
      </c>
      <c r="AC8" s="6">
        <v>66.855500000000006</v>
      </c>
      <c r="AD8">
        <v>17343.400000000001</v>
      </c>
      <c r="AE8" s="12">
        <f t="shared" si="3"/>
        <v>-2.0905790942090663</v>
      </c>
      <c r="AF8" s="12">
        <f t="shared" si="0"/>
        <v>19.500607118281387</v>
      </c>
      <c r="AG8" s="12">
        <f t="shared" si="1"/>
        <v>-0.21492697706697594</v>
      </c>
      <c r="AH8" s="12">
        <f t="shared" si="2"/>
        <v>10.842403287552171</v>
      </c>
    </row>
    <row r="9" spans="1:34" x14ac:dyDescent="0.25">
      <c r="A9">
        <v>15</v>
      </c>
      <c r="B9" s="1">
        <v>43838.851458333331</v>
      </c>
      <c r="C9" t="s">
        <v>5</v>
      </c>
      <c r="D9" s="10">
        <v>-33.19</v>
      </c>
      <c r="E9" t="s">
        <v>8</v>
      </c>
      <c r="F9">
        <v>0</v>
      </c>
      <c r="G9">
        <v>0.02</v>
      </c>
      <c r="H9">
        <v>16</v>
      </c>
      <c r="I9">
        <v>5</v>
      </c>
      <c r="J9">
        <v>5</v>
      </c>
      <c r="K9" t="b">
        <v>0</v>
      </c>
      <c r="L9" t="b">
        <v>0</v>
      </c>
      <c r="M9">
        <v>603.97500000000002</v>
      </c>
      <c r="N9">
        <v>0</v>
      </c>
      <c r="O9">
        <v>2.5000000000000001E-2</v>
      </c>
      <c r="P9">
        <v>40</v>
      </c>
      <c r="Q9">
        <v>23</v>
      </c>
      <c r="R9">
        <v>3.1500000000000001E-4</v>
      </c>
      <c r="S9" s="3">
        <v>3.6999999999999998E-5</v>
      </c>
      <c r="T9">
        <v>10.66</v>
      </c>
      <c r="U9">
        <v>0.2097</v>
      </c>
      <c r="V9">
        <v>0.95</v>
      </c>
      <c r="W9">
        <v>4</v>
      </c>
      <c r="X9" t="s">
        <v>27</v>
      </c>
      <c r="Y9" t="s">
        <v>29</v>
      </c>
      <c r="Z9" t="s">
        <v>31</v>
      </c>
      <c r="AA9" s="8">
        <v>0.97867499999999996</v>
      </c>
      <c r="AB9" s="8">
        <v>0.74498799999999998</v>
      </c>
      <c r="AC9" s="6">
        <v>66.951599999999999</v>
      </c>
      <c r="AD9">
        <v>17331.400000000001</v>
      </c>
      <c r="AE9" s="12">
        <f t="shared" si="3"/>
        <v>-2.1334786652133619</v>
      </c>
      <c r="AF9" s="12">
        <f t="shared" si="0"/>
        <v>19.496917892264975</v>
      </c>
      <c r="AG9" s="12">
        <f t="shared" si="1"/>
        <v>-7.1493070843808848E-2</v>
      </c>
      <c r="AH9" s="12">
        <f t="shared" si="2"/>
        <v>10.765710779771087</v>
      </c>
    </row>
    <row r="10" spans="1:34" x14ac:dyDescent="0.25">
      <c r="A10">
        <v>14</v>
      </c>
      <c r="B10" s="1">
        <v>43838.902673611112</v>
      </c>
      <c r="C10" t="s">
        <v>5</v>
      </c>
      <c r="D10" s="10">
        <v>-32.25</v>
      </c>
      <c r="E10" t="s">
        <v>8</v>
      </c>
      <c r="F10">
        <v>0</v>
      </c>
      <c r="G10">
        <v>0.02</v>
      </c>
      <c r="H10">
        <v>16</v>
      </c>
      <c r="I10">
        <v>5</v>
      </c>
      <c r="J10">
        <v>5</v>
      </c>
      <c r="K10" t="b">
        <v>0</v>
      </c>
      <c r="L10" t="b">
        <v>0</v>
      </c>
      <c r="M10">
        <v>603.97500000000002</v>
      </c>
      <c r="N10">
        <v>0</v>
      </c>
      <c r="O10">
        <v>2.5000000000000001E-2</v>
      </c>
      <c r="P10">
        <v>40</v>
      </c>
      <c r="Q10">
        <v>23</v>
      </c>
      <c r="R10">
        <v>3.1399999999999999E-4</v>
      </c>
      <c r="S10" s="3">
        <v>3.6999999999999998E-5</v>
      </c>
      <c r="T10">
        <v>10.5479</v>
      </c>
      <c r="U10">
        <v>0.20649999999999999</v>
      </c>
      <c r="V10">
        <v>0.95</v>
      </c>
      <c r="W10">
        <v>4</v>
      </c>
      <c r="X10" t="s">
        <v>27</v>
      </c>
      <c r="Y10" t="s">
        <v>29</v>
      </c>
      <c r="Z10" t="s">
        <v>31</v>
      </c>
      <c r="AA10" s="8">
        <v>0.97771699999999995</v>
      </c>
      <c r="AB10" s="8">
        <v>0.74533099999999997</v>
      </c>
      <c r="AC10" s="6">
        <v>66.861999999999995</v>
      </c>
      <c r="AD10">
        <v>17311.400000000001</v>
      </c>
      <c r="AE10" s="12">
        <f t="shared" si="3"/>
        <v>-2.2292777072229431</v>
      </c>
      <c r="AF10" s="12">
        <f t="shared" si="0"/>
        <v>19.551935480249007</v>
      </c>
      <c r="AG10" s="12">
        <f t="shared" si="1"/>
        <v>-0.20522541212995016</v>
      </c>
      <c r="AH10" s="12">
        <f t="shared" si="2"/>
        <v>10.637889933469257</v>
      </c>
    </row>
    <row r="11" spans="1:34" x14ac:dyDescent="0.25">
      <c r="A11">
        <v>13</v>
      </c>
      <c r="B11" s="1">
        <v>43845.861122685186</v>
      </c>
      <c r="C11" t="s">
        <v>5</v>
      </c>
      <c r="D11" s="10">
        <v>-31.62</v>
      </c>
      <c r="E11" t="s">
        <v>8</v>
      </c>
      <c r="F11">
        <v>0</v>
      </c>
      <c r="G11">
        <v>0.02</v>
      </c>
      <c r="H11">
        <v>16</v>
      </c>
      <c r="I11">
        <v>5</v>
      </c>
      <c r="J11">
        <v>5</v>
      </c>
      <c r="K11" t="b">
        <v>0</v>
      </c>
      <c r="L11" t="b">
        <v>0</v>
      </c>
      <c r="M11">
        <v>603.97500000000002</v>
      </c>
      <c r="N11">
        <v>0</v>
      </c>
      <c r="O11">
        <v>2.5000000000000001E-2</v>
      </c>
      <c r="P11">
        <v>40</v>
      </c>
      <c r="Q11">
        <v>23</v>
      </c>
      <c r="R11">
        <v>3.2000000000000003E-4</v>
      </c>
      <c r="S11" s="3">
        <v>3.8000000000000002E-5</v>
      </c>
      <c r="T11">
        <v>10.430199999999999</v>
      </c>
      <c r="U11">
        <v>0.21129999999999999</v>
      </c>
      <c r="V11">
        <v>0.95</v>
      </c>
      <c r="W11">
        <v>4</v>
      </c>
      <c r="X11" t="s">
        <v>27</v>
      </c>
      <c r="Y11" t="s">
        <v>29</v>
      </c>
      <c r="Z11" t="s">
        <v>31</v>
      </c>
      <c r="AA11" s="8">
        <v>0.97806700000000002</v>
      </c>
      <c r="AB11" s="8">
        <v>0.74430799999999997</v>
      </c>
      <c r="AC11" s="6">
        <v>66.944199999999995</v>
      </c>
      <c r="AD11">
        <v>17297.8</v>
      </c>
      <c r="AE11" s="12">
        <f t="shared" si="3"/>
        <v>-2.1942780572194343</v>
      </c>
      <c r="AF11" s="12">
        <f t="shared" si="0"/>
        <v>19.387845123083803</v>
      </c>
      <c r="AG11" s="12">
        <f t="shared" si="1"/>
        <v>-8.2537929387538345E-2</v>
      </c>
      <c r="AH11" s="12">
        <f t="shared" si="2"/>
        <v>10.550971757984007</v>
      </c>
    </row>
    <row r="12" spans="1:34" x14ac:dyDescent="0.25">
      <c r="A12">
        <v>12</v>
      </c>
      <c r="B12" s="1">
        <v>43845.938975115743</v>
      </c>
      <c r="C12" t="s">
        <v>5</v>
      </c>
      <c r="D12" s="10">
        <v>-31</v>
      </c>
      <c r="E12" t="s">
        <v>8</v>
      </c>
      <c r="F12">
        <v>0</v>
      </c>
      <c r="G12">
        <v>0.02</v>
      </c>
      <c r="H12">
        <v>16</v>
      </c>
      <c r="I12">
        <v>5</v>
      </c>
      <c r="J12">
        <v>5</v>
      </c>
      <c r="K12" t="b">
        <v>0</v>
      </c>
      <c r="L12" t="b">
        <v>0</v>
      </c>
      <c r="M12">
        <v>604</v>
      </c>
      <c r="N12">
        <v>0</v>
      </c>
      <c r="O12">
        <v>0</v>
      </c>
      <c r="P12">
        <v>40</v>
      </c>
      <c r="Q12">
        <v>23</v>
      </c>
      <c r="R12">
        <v>3.1100000000000002E-4</v>
      </c>
      <c r="S12" s="3">
        <v>3.6999999999999998E-5</v>
      </c>
      <c r="T12">
        <v>10.236700000000001</v>
      </c>
      <c r="U12">
        <v>0.20449999999999999</v>
      </c>
      <c r="V12">
        <v>0.95</v>
      </c>
      <c r="W12">
        <v>4</v>
      </c>
      <c r="X12" t="s">
        <v>27</v>
      </c>
      <c r="Y12" t="s">
        <v>29</v>
      </c>
      <c r="Z12" t="s">
        <v>31</v>
      </c>
      <c r="AA12" s="8">
        <v>0.97799800000000003</v>
      </c>
      <c r="AB12" s="8">
        <v>0.74327200000000004</v>
      </c>
      <c r="AC12" s="6">
        <v>66.8339</v>
      </c>
      <c r="AD12">
        <v>17259.900000000001</v>
      </c>
      <c r="AE12" s="12">
        <f t="shared" si="3"/>
        <v>-2.2011779882201155</v>
      </c>
      <c r="AF12" s="12">
        <f t="shared" si="0"/>
        <v>19.221669551213672</v>
      </c>
      <c r="AG12" s="12">
        <f t="shared" si="1"/>
        <v>-0.24716602362704343</v>
      </c>
      <c r="AH12" s="12">
        <f t="shared" si="2"/>
        <v>10.308751254242065</v>
      </c>
    </row>
    <row r="13" spans="1:34" x14ac:dyDescent="0.25">
      <c r="A13">
        <v>11</v>
      </c>
      <c r="B13" s="1">
        <v>43837.949583333335</v>
      </c>
      <c r="C13" t="s">
        <v>5</v>
      </c>
      <c r="D13" s="10">
        <v>-28.81</v>
      </c>
      <c r="E13" t="s">
        <v>8</v>
      </c>
      <c r="F13">
        <v>0</v>
      </c>
      <c r="G13">
        <v>0.02</v>
      </c>
      <c r="H13">
        <v>16</v>
      </c>
      <c r="I13">
        <v>5</v>
      </c>
      <c r="J13">
        <v>5</v>
      </c>
      <c r="K13" t="b">
        <v>0</v>
      </c>
      <c r="L13" t="b">
        <v>0</v>
      </c>
      <c r="M13">
        <v>603.97500000000002</v>
      </c>
      <c r="N13">
        <v>0</v>
      </c>
      <c r="O13">
        <v>2.5000000000000001E-2</v>
      </c>
      <c r="P13">
        <v>40</v>
      </c>
      <c r="Q13">
        <v>23</v>
      </c>
      <c r="R13">
        <v>2.8400000000000002E-4</v>
      </c>
      <c r="S13" s="3">
        <v>3.6000000000000001E-5</v>
      </c>
      <c r="T13">
        <v>9.0905000000000005</v>
      </c>
      <c r="U13">
        <v>0.1946</v>
      </c>
      <c r="V13">
        <v>0.95</v>
      </c>
      <c r="W13">
        <v>4</v>
      </c>
      <c r="X13" t="s">
        <v>27</v>
      </c>
      <c r="Y13" t="s">
        <v>29</v>
      </c>
      <c r="Z13" t="s">
        <v>31</v>
      </c>
      <c r="AA13" s="8">
        <v>0.97484599999999999</v>
      </c>
      <c r="AB13" s="8">
        <v>0.739541</v>
      </c>
      <c r="AC13" s="6">
        <v>66.776399999999995</v>
      </c>
      <c r="AD13">
        <v>17083</v>
      </c>
      <c r="AE13" s="12">
        <f t="shared" si="3"/>
        <v>-2.5163748362516447</v>
      </c>
      <c r="AF13" s="12">
        <f t="shared" si="0"/>
        <v>18.623212930897594</v>
      </c>
      <c r="AG13" s="12">
        <f t="shared" si="1"/>
        <v>-0.33298755960865511</v>
      </c>
      <c r="AH13" s="12">
        <f t="shared" si="2"/>
        <v>9.1781758687024215</v>
      </c>
    </row>
    <row r="14" spans="1:34" x14ac:dyDescent="0.25">
      <c r="A14">
        <v>10</v>
      </c>
      <c r="B14" s="1">
        <v>43850.658715277779</v>
      </c>
      <c r="C14" t="s">
        <v>5</v>
      </c>
      <c r="D14" s="10">
        <v>-25.69</v>
      </c>
      <c r="E14" t="s">
        <v>8</v>
      </c>
      <c r="F14">
        <v>0</v>
      </c>
      <c r="G14">
        <v>0.02</v>
      </c>
      <c r="H14">
        <v>16</v>
      </c>
      <c r="I14">
        <v>5</v>
      </c>
      <c r="J14">
        <v>5</v>
      </c>
      <c r="K14" t="b">
        <v>0</v>
      </c>
      <c r="L14" t="b">
        <v>0</v>
      </c>
      <c r="M14">
        <v>603.54999999999995</v>
      </c>
      <c r="N14">
        <v>0.45</v>
      </c>
      <c r="O14">
        <v>0</v>
      </c>
      <c r="P14">
        <v>40</v>
      </c>
      <c r="Q14">
        <v>23</v>
      </c>
      <c r="R14">
        <v>2.7099999999999997E-4</v>
      </c>
      <c r="S14" s="3">
        <v>3.4999999999999997E-5</v>
      </c>
      <c r="T14">
        <v>8.5756999999999994</v>
      </c>
      <c r="U14">
        <v>0.1913</v>
      </c>
      <c r="V14">
        <v>0.95</v>
      </c>
      <c r="W14">
        <v>4</v>
      </c>
      <c r="X14" t="s">
        <v>27</v>
      </c>
      <c r="Y14" t="s">
        <v>29</v>
      </c>
      <c r="Z14" t="s">
        <v>31</v>
      </c>
      <c r="AA14" s="8">
        <v>0.97957099999999997</v>
      </c>
      <c r="AB14" s="8">
        <v>0.73326899999999995</v>
      </c>
      <c r="AC14" s="6">
        <v>66.690100000000001</v>
      </c>
      <c r="AD14">
        <v>17004.099999999999</v>
      </c>
      <c r="AE14" s="12">
        <f t="shared" si="3"/>
        <v>-2.0438795612043981</v>
      </c>
      <c r="AF14" s="12">
        <f t="shared" si="0"/>
        <v>17.617177036332453</v>
      </c>
      <c r="AG14" s="12">
        <f t="shared" si="1"/>
        <v>-0.46179449100366421</v>
      </c>
      <c r="AH14" s="12">
        <f t="shared" si="2"/>
        <v>8.6739226300417194</v>
      </c>
    </row>
    <row r="15" spans="1:34" x14ac:dyDescent="0.25">
      <c r="A15">
        <v>9</v>
      </c>
      <c r="B15" s="1">
        <v>43851.710300925923</v>
      </c>
      <c r="C15" t="s">
        <v>5</v>
      </c>
      <c r="D15" s="10">
        <v>-21.31</v>
      </c>
      <c r="E15" t="s">
        <v>8</v>
      </c>
      <c r="F15">
        <v>0</v>
      </c>
      <c r="G15">
        <v>0.02</v>
      </c>
      <c r="H15">
        <v>16</v>
      </c>
      <c r="I15">
        <v>5</v>
      </c>
      <c r="J15">
        <v>5</v>
      </c>
      <c r="K15" t="b">
        <v>0</v>
      </c>
      <c r="L15" t="b">
        <v>1</v>
      </c>
      <c r="M15">
        <v>603.97500000000002</v>
      </c>
      <c r="N15">
        <v>0</v>
      </c>
      <c r="O15">
        <v>2.5000000000000001E-2</v>
      </c>
      <c r="P15">
        <v>40</v>
      </c>
      <c r="Q15">
        <v>23</v>
      </c>
      <c r="R15">
        <v>2.4000000000000001E-4</v>
      </c>
      <c r="S15" s="3">
        <v>3.3000000000000003E-5</v>
      </c>
      <c r="T15">
        <v>7.6802999999999999</v>
      </c>
      <c r="U15">
        <v>0.17419999999999999</v>
      </c>
      <c r="V15">
        <v>0.95</v>
      </c>
      <c r="W15">
        <v>4</v>
      </c>
      <c r="X15" t="s">
        <v>27</v>
      </c>
      <c r="Y15" t="s">
        <v>29</v>
      </c>
      <c r="Z15" t="s">
        <v>31</v>
      </c>
      <c r="AA15" s="8">
        <v>0.98942799999999997</v>
      </c>
      <c r="AB15" s="8">
        <v>0.72164300000000003</v>
      </c>
      <c r="AC15" s="6">
        <v>66.413300000000007</v>
      </c>
      <c r="AD15">
        <v>16870.599999999999</v>
      </c>
      <c r="AE15" s="12">
        <f t="shared" si="3"/>
        <v>-1.058189418105826</v>
      </c>
      <c r="AF15" s="12">
        <f t="shared" si="0"/>
        <v>15.752353485596782</v>
      </c>
      <c r="AG15" s="12">
        <f t="shared" si="1"/>
        <v>-0.87493190247687203</v>
      </c>
      <c r="AH15" s="12">
        <f t="shared" si="2"/>
        <v>7.8207184809770514</v>
      </c>
    </row>
    <row r="16" spans="1:34" x14ac:dyDescent="0.25">
      <c r="A16">
        <v>8</v>
      </c>
      <c r="B16" s="1">
        <v>43851.917847222219</v>
      </c>
      <c r="C16" t="s">
        <v>5</v>
      </c>
      <c r="D16" s="10">
        <v>-20.059999999999999</v>
      </c>
      <c r="E16" t="s">
        <v>8</v>
      </c>
      <c r="F16">
        <v>0</v>
      </c>
      <c r="G16">
        <v>0.02</v>
      </c>
      <c r="H16">
        <v>16</v>
      </c>
      <c r="I16">
        <v>5</v>
      </c>
      <c r="J16">
        <v>5</v>
      </c>
      <c r="K16" t="b">
        <v>0</v>
      </c>
      <c r="L16" t="b">
        <v>1</v>
      </c>
      <c r="M16">
        <v>603.97500000000002</v>
      </c>
      <c r="N16">
        <v>0</v>
      </c>
      <c r="O16">
        <v>2.5000000000000001E-2</v>
      </c>
      <c r="P16">
        <v>40</v>
      </c>
      <c r="Q16">
        <v>23</v>
      </c>
      <c r="R16">
        <v>2.3900000000000001E-4</v>
      </c>
      <c r="S16" s="3">
        <v>3.3000000000000003E-5</v>
      </c>
      <c r="T16">
        <v>7.5571999999999999</v>
      </c>
      <c r="U16">
        <v>0.17249999999999999</v>
      </c>
      <c r="V16">
        <v>0.95</v>
      </c>
      <c r="W16">
        <v>4</v>
      </c>
      <c r="X16" t="s">
        <v>27</v>
      </c>
      <c r="Y16" t="s">
        <v>29</v>
      </c>
      <c r="Z16" t="s">
        <v>31</v>
      </c>
      <c r="AA16" s="8">
        <v>0.98976600000000003</v>
      </c>
      <c r="AB16" s="8">
        <v>0.72162700000000002</v>
      </c>
      <c r="AC16" s="6">
        <v>66.256200000000007</v>
      </c>
      <c r="AD16">
        <v>16842.599999999999</v>
      </c>
      <c r="AE16" s="12">
        <f t="shared" si="3"/>
        <v>-1.0243897561024395</v>
      </c>
      <c r="AF16" s="12">
        <f t="shared" si="0"/>
        <v>15.749787067498389</v>
      </c>
      <c r="AG16" s="12">
        <f t="shared" si="1"/>
        <v>-1.1094112642631493</v>
      </c>
      <c r="AH16" s="12">
        <f t="shared" si="2"/>
        <v>7.6417692961544992</v>
      </c>
    </row>
    <row r="17" spans="1:34" x14ac:dyDescent="0.25">
      <c r="A17">
        <v>7</v>
      </c>
      <c r="B17" s="1">
        <v>43854.740798611114</v>
      </c>
      <c r="C17" t="s">
        <v>5</v>
      </c>
      <c r="D17" s="10">
        <v>-15.69</v>
      </c>
      <c r="E17" t="s">
        <v>8</v>
      </c>
      <c r="F17">
        <v>0</v>
      </c>
      <c r="G17">
        <v>0.02</v>
      </c>
      <c r="H17">
        <v>16</v>
      </c>
      <c r="I17">
        <v>5</v>
      </c>
      <c r="J17">
        <v>5</v>
      </c>
      <c r="K17" t="b">
        <v>0</v>
      </c>
      <c r="L17" t="b">
        <v>1</v>
      </c>
      <c r="M17">
        <v>602.97500000000002</v>
      </c>
      <c r="N17">
        <v>0</v>
      </c>
      <c r="O17">
        <v>1.0249999999999999</v>
      </c>
      <c r="P17">
        <v>40</v>
      </c>
      <c r="Q17">
        <v>23</v>
      </c>
      <c r="R17">
        <v>2.0699999999999999E-4</v>
      </c>
      <c r="S17" s="3">
        <v>3.1000000000000001E-5</v>
      </c>
      <c r="T17">
        <v>6.4890999999999996</v>
      </c>
      <c r="U17">
        <v>0.16159999999999999</v>
      </c>
      <c r="V17">
        <v>0.95</v>
      </c>
      <c r="W17">
        <v>4</v>
      </c>
      <c r="X17" t="s">
        <v>27</v>
      </c>
      <c r="Y17" t="s">
        <v>29</v>
      </c>
      <c r="Z17" t="s">
        <v>31</v>
      </c>
      <c r="AA17" s="8">
        <v>0.98901099999999997</v>
      </c>
      <c r="AB17" s="8">
        <v>0.715696</v>
      </c>
      <c r="AC17" s="6">
        <v>66.215199999999996</v>
      </c>
      <c r="AD17">
        <v>16667.900000000001</v>
      </c>
      <c r="AE17" s="12">
        <f t="shared" si="3"/>
        <v>-1.0998890011099993</v>
      </c>
      <c r="AF17" s="12">
        <f t="shared" si="0"/>
        <v>14.798447958654993</v>
      </c>
      <c r="AG17" s="12">
        <f t="shared" si="1"/>
        <v>-1.1706057507891887</v>
      </c>
      <c r="AH17" s="12">
        <f t="shared" si="2"/>
        <v>6.5252542037080863</v>
      </c>
    </row>
    <row r="18" spans="1:34" x14ac:dyDescent="0.25">
      <c r="A18">
        <v>0</v>
      </c>
      <c r="B18" s="1">
        <v>43978.593993055554</v>
      </c>
      <c r="C18" t="s">
        <v>5</v>
      </c>
      <c r="D18" s="10">
        <v>5</v>
      </c>
      <c r="E18" t="s">
        <v>8</v>
      </c>
      <c r="F18">
        <v>0</v>
      </c>
      <c r="G18">
        <v>0.02</v>
      </c>
      <c r="H18">
        <v>16</v>
      </c>
      <c r="I18">
        <v>5</v>
      </c>
      <c r="J18">
        <v>5</v>
      </c>
      <c r="K18" t="b">
        <v>0</v>
      </c>
      <c r="L18" t="b">
        <v>1</v>
      </c>
      <c r="M18">
        <v>603.97500000000002</v>
      </c>
      <c r="N18">
        <v>0</v>
      </c>
      <c r="O18">
        <v>2.5000000000000001E-2</v>
      </c>
      <c r="P18">
        <v>40</v>
      </c>
      <c r="Q18">
        <v>23</v>
      </c>
      <c r="R18" s="3">
        <v>8.2999999999999998E-5</v>
      </c>
      <c r="S18" s="3">
        <v>2.5000000000000001E-5</v>
      </c>
      <c r="T18">
        <v>1.8223</v>
      </c>
      <c r="U18">
        <v>0.1167</v>
      </c>
      <c r="V18">
        <v>0.95</v>
      </c>
      <c r="W18">
        <v>4</v>
      </c>
      <c r="X18" t="s">
        <v>27</v>
      </c>
      <c r="Y18" t="s">
        <v>29</v>
      </c>
      <c r="Z18" t="s">
        <v>31</v>
      </c>
      <c r="AA18" s="8">
        <v>0.99355000000000004</v>
      </c>
      <c r="AB18" s="8">
        <v>0.68799100000000002</v>
      </c>
      <c r="AC18" s="6">
        <v>65.551000000000002</v>
      </c>
      <c r="AD18">
        <v>15914</v>
      </c>
      <c r="AE18" s="12">
        <f t="shared" si="3"/>
        <v>-0.64599354006460441</v>
      </c>
      <c r="AF18" s="12">
        <f t="shared" si="0"/>
        <v>10.354534620178146</v>
      </c>
      <c r="AG18" s="12">
        <f t="shared" si="1"/>
        <v>-2.161956432510681</v>
      </c>
      <c r="AH18" s="12">
        <f t="shared" si="2"/>
        <v>1.7070474023608506</v>
      </c>
    </row>
    <row r="19" spans="1:34" x14ac:dyDescent="0.25">
      <c r="A19">
        <v>1</v>
      </c>
      <c r="B19" s="1">
        <v>43978.715914351851</v>
      </c>
      <c r="C19" t="s">
        <v>5</v>
      </c>
      <c r="D19" s="10">
        <v>10.56</v>
      </c>
      <c r="E19" t="s">
        <v>8</v>
      </c>
      <c r="F19">
        <v>0</v>
      </c>
      <c r="G19">
        <v>0.02</v>
      </c>
      <c r="H19">
        <v>16</v>
      </c>
      <c r="I19">
        <v>5</v>
      </c>
      <c r="J19">
        <v>5</v>
      </c>
      <c r="K19" t="b">
        <v>0</v>
      </c>
      <c r="L19" t="b">
        <v>1</v>
      </c>
      <c r="M19">
        <v>603.97500000000002</v>
      </c>
      <c r="N19">
        <v>0</v>
      </c>
      <c r="O19">
        <v>2.5000000000000001E-2</v>
      </c>
      <c r="P19">
        <v>40</v>
      </c>
      <c r="Q19">
        <v>23</v>
      </c>
      <c r="R19" s="3">
        <v>6.8999999999999997E-5</v>
      </c>
      <c r="S19" s="3">
        <v>2.5000000000000001E-5</v>
      </c>
      <c r="T19">
        <v>1.4494</v>
      </c>
      <c r="U19">
        <v>0.1119</v>
      </c>
      <c r="V19">
        <v>0.95</v>
      </c>
      <c r="W19">
        <v>4</v>
      </c>
      <c r="X19" t="s">
        <v>27</v>
      </c>
      <c r="Y19" t="s">
        <v>29</v>
      </c>
      <c r="Z19" t="s">
        <v>31</v>
      </c>
      <c r="AA19" s="8">
        <v>0.993035</v>
      </c>
      <c r="AB19" s="8">
        <v>0.68504399999999999</v>
      </c>
      <c r="AC19" s="6">
        <v>65.495599999999996</v>
      </c>
      <c r="AD19">
        <v>15840.4</v>
      </c>
      <c r="AE19" s="12">
        <f t="shared" si="3"/>
        <v>-0.69749302506975086</v>
      </c>
      <c r="AF19" s="12">
        <f t="shared" si="0"/>
        <v>9.8818324866826845</v>
      </c>
      <c r="AG19" s="12">
        <f t="shared" si="1"/>
        <v>-2.2446436167434136</v>
      </c>
      <c r="AH19" s="12">
        <f t="shared" si="2"/>
        <v>1.2366666879701338</v>
      </c>
    </row>
    <row r="20" spans="1:34" x14ac:dyDescent="0.25">
      <c r="A20">
        <v>2</v>
      </c>
      <c r="B20" s="1">
        <v>43978.833594328702</v>
      </c>
      <c r="C20" t="s">
        <v>5</v>
      </c>
      <c r="D20" s="10">
        <v>17.440000000000001</v>
      </c>
      <c r="E20" t="s">
        <v>8</v>
      </c>
      <c r="F20">
        <v>0</v>
      </c>
      <c r="G20">
        <v>0.02</v>
      </c>
      <c r="H20">
        <v>16</v>
      </c>
      <c r="I20">
        <v>5</v>
      </c>
      <c r="J20">
        <v>5</v>
      </c>
      <c r="K20" t="b">
        <v>0</v>
      </c>
      <c r="L20" t="b">
        <v>1</v>
      </c>
      <c r="M20">
        <v>604</v>
      </c>
      <c r="N20">
        <v>0</v>
      </c>
      <c r="O20">
        <v>0</v>
      </c>
      <c r="P20">
        <v>40</v>
      </c>
      <c r="Q20">
        <v>23</v>
      </c>
      <c r="R20" s="3">
        <v>2.9E-5</v>
      </c>
      <c r="S20" s="3">
        <v>2.3E-5</v>
      </c>
      <c r="T20">
        <v>9.7900000000000001E-2</v>
      </c>
      <c r="U20">
        <v>0.10199999999999999</v>
      </c>
      <c r="V20">
        <v>0.95</v>
      </c>
      <c r="W20">
        <v>4</v>
      </c>
      <c r="X20" t="s">
        <v>27</v>
      </c>
      <c r="Y20" t="s">
        <v>29</v>
      </c>
      <c r="Z20" t="s">
        <v>31</v>
      </c>
      <c r="AA20" s="8">
        <v>0.98918499999999998</v>
      </c>
      <c r="AB20" s="8">
        <v>0.67926600000000004</v>
      </c>
      <c r="AC20" s="6">
        <v>65.3506</v>
      </c>
      <c r="AD20">
        <v>15624</v>
      </c>
      <c r="AE20" s="12">
        <f t="shared" si="3"/>
        <v>-1.0824891751082588</v>
      </c>
      <c r="AF20" s="12">
        <f t="shared" si="0"/>
        <v>8.9550347509050674</v>
      </c>
      <c r="AG20" s="12">
        <f t="shared" si="1"/>
        <v>-2.4610631422622542</v>
      </c>
      <c r="AH20" s="12">
        <f t="shared" si="2"/>
        <v>-0.14635486901558581</v>
      </c>
    </row>
    <row r="21" spans="1:34" x14ac:dyDescent="0.25">
      <c r="A21">
        <v>4</v>
      </c>
      <c r="B21" s="1">
        <v>44001.838182870371</v>
      </c>
      <c r="C21" t="s">
        <v>5</v>
      </c>
      <c r="D21" s="10">
        <v>26</v>
      </c>
      <c r="E21" t="s">
        <v>8</v>
      </c>
      <c r="F21">
        <v>0</v>
      </c>
      <c r="G21">
        <v>0.02</v>
      </c>
      <c r="H21">
        <v>16</v>
      </c>
      <c r="I21">
        <v>5</v>
      </c>
      <c r="J21">
        <v>5</v>
      </c>
      <c r="K21" t="b">
        <v>0</v>
      </c>
      <c r="L21" t="b">
        <v>1</v>
      </c>
      <c r="M21">
        <v>604</v>
      </c>
      <c r="N21">
        <v>0</v>
      </c>
      <c r="O21">
        <v>0</v>
      </c>
      <c r="P21">
        <v>40</v>
      </c>
      <c r="Q21">
        <v>23</v>
      </c>
      <c r="R21" s="3">
        <v>1.9000000000000001E-5</v>
      </c>
      <c r="S21" s="3">
        <v>2.4000000000000001E-5</v>
      </c>
      <c r="T21">
        <v>-2.2452000000000001</v>
      </c>
      <c r="U21">
        <v>9.2700000000000005E-2</v>
      </c>
      <c r="V21">
        <v>0.95</v>
      </c>
      <c r="W21">
        <v>4</v>
      </c>
      <c r="X21" t="s">
        <v>27</v>
      </c>
      <c r="Y21" t="s">
        <v>29</v>
      </c>
      <c r="Z21" t="s">
        <v>31</v>
      </c>
      <c r="AA21" s="8">
        <v>0.99031000000000002</v>
      </c>
      <c r="AB21" s="8">
        <v>0.67035299999999998</v>
      </c>
      <c r="AC21" s="6">
        <v>64.900300000000001</v>
      </c>
      <c r="AD21">
        <v>15247.3</v>
      </c>
      <c r="AE21" s="12">
        <f t="shared" si="3"/>
        <v>-0.96999030009700116</v>
      </c>
      <c r="AF21" s="12">
        <f t="shared" si="0"/>
        <v>7.5253794689760012</v>
      </c>
      <c r="AG21" s="12">
        <f t="shared" si="1"/>
        <v>-3.1331577101321617</v>
      </c>
      <c r="AH21" s="12">
        <f t="shared" si="2"/>
        <v>-2.5538605091104283</v>
      </c>
    </row>
    <row r="22" spans="1:34" x14ac:dyDescent="0.25">
      <c r="A22">
        <v>5</v>
      </c>
      <c r="B22" s="1">
        <v>44004.893541666665</v>
      </c>
      <c r="C22" t="s">
        <v>5</v>
      </c>
      <c r="D22" s="10">
        <v>28.62</v>
      </c>
      <c r="E22" t="s">
        <v>8</v>
      </c>
      <c r="F22">
        <v>0</v>
      </c>
      <c r="G22">
        <v>0.02</v>
      </c>
      <c r="H22">
        <v>16</v>
      </c>
      <c r="I22">
        <v>5</v>
      </c>
      <c r="J22">
        <v>5</v>
      </c>
      <c r="K22" t="b">
        <v>0</v>
      </c>
      <c r="L22" t="b">
        <v>1</v>
      </c>
      <c r="M22">
        <v>603.97500000000002</v>
      </c>
      <c r="N22">
        <v>0</v>
      </c>
      <c r="O22">
        <v>2.5000000000000001E-2</v>
      </c>
      <c r="P22">
        <v>40</v>
      </c>
      <c r="Q22">
        <v>23</v>
      </c>
      <c r="R22" s="3">
        <v>-2.1999999999999999E-5</v>
      </c>
      <c r="S22" s="3">
        <v>2.0999999999999999E-5</v>
      </c>
      <c r="T22">
        <v>-3.0606</v>
      </c>
      <c r="U22">
        <v>8.1199999999999994E-2</v>
      </c>
      <c r="V22">
        <v>0.95</v>
      </c>
      <c r="W22">
        <v>4</v>
      </c>
      <c r="X22" t="s">
        <v>27</v>
      </c>
      <c r="Y22" t="s">
        <v>29</v>
      </c>
      <c r="Z22" t="s">
        <v>31</v>
      </c>
      <c r="AA22" s="8">
        <v>0.99109700000000001</v>
      </c>
      <c r="AB22" s="8">
        <v>0.66230699999999998</v>
      </c>
      <c r="AC22" s="6">
        <v>65.124099999999999</v>
      </c>
      <c r="AD22">
        <v>15101.6</v>
      </c>
      <c r="AE22" s="12">
        <f t="shared" si="3"/>
        <v>-0.89129108708912996</v>
      </c>
      <c r="AF22" s="12">
        <f t="shared" si="0"/>
        <v>6.2347919677529395</v>
      </c>
      <c r="AG22" s="12">
        <f t="shared" si="1"/>
        <v>-2.7991253666072136</v>
      </c>
      <c r="AH22" s="12">
        <f t="shared" si="2"/>
        <v>-3.4850353744192097</v>
      </c>
    </row>
    <row r="23" spans="1:34" x14ac:dyDescent="0.25">
      <c r="A23">
        <v>6</v>
      </c>
      <c r="B23" s="1">
        <v>44006.82309027778</v>
      </c>
      <c r="C23" t="s">
        <v>5</v>
      </c>
      <c r="D23" s="10">
        <v>30.19</v>
      </c>
      <c r="E23" t="s">
        <v>8</v>
      </c>
      <c r="F23">
        <v>0</v>
      </c>
      <c r="G23">
        <v>0.02</v>
      </c>
      <c r="H23">
        <v>16</v>
      </c>
      <c r="I23">
        <v>5</v>
      </c>
      <c r="J23">
        <v>5</v>
      </c>
      <c r="K23" t="b">
        <v>0</v>
      </c>
      <c r="L23" t="b">
        <v>1</v>
      </c>
      <c r="M23">
        <v>604</v>
      </c>
      <c r="N23">
        <v>0</v>
      </c>
      <c r="O23">
        <v>0</v>
      </c>
      <c r="P23">
        <v>40</v>
      </c>
      <c r="Q23">
        <v>23</v>
      </c>
      <c r="R23" s="3">
        <v>5.0000000000000004E-6</v>
      </c>
      <c r="S23" s="3">
        <v>2.1999999999999999E-5</v>
      </c>
      <c r="T23">
        <v>-2.7858000000000001</v>
      </c>
      <c r="U23">
        <v>8.6300000000000002E-2</v>
      </c>
      <c r="V23">
        <v>0.95</v>
      </c>
      <c r="W23">
        <v>4</v>
      </c>
      <c r="X23" t="s">
        <v>27</v>
      </c>
      <c r="Y23" t="s">
        <v>29</v>
      </c>
      <c r="Z23" t="s">
        <v>31</v>
      </c>
      <c r="AA23" s="8">
        <v>0.99086799999999997</v>
      </c>
      <c r="AB23" s="8">
        <v>0.66455399999999998</v>
      </c>
      <c r="AC23" s="6">
        <v>65.040300000000002</v>
      </c>
      <c r="AD23">
        <v>15156.1</v>
      </c>
      <c r="AE23" s="12">
        <f t="shared" si="3"/>
        <v>-0.91419085809142375</v>
      </c>
      <c r="AF23" s="12">
        <f t="shared" si="0"/>
        <v>6.5952133094442589</v>
      </c>
      <c r="AG23" s="12">
        <f t="shared" si="1"/>
        <v>-2.9242009268725777</v>
      </c>
      <c r="AH23" s="12">
        <f t="shared" si="2"/>
        <v>-3.1367235682467354</v>
      </c>
    </row>
    <row r="24" spans="1:34" x14ac:dyDescent="0.25">
      <c r="A24">
        <v>22</v>
      </c>
      <c r="C24" t="s">
        <v>6</v>
      </c>
      <c r="E24" t="s">
        <v>8</v>
      </c>
      <c r="W24">
        <v>4</v>
      </c>
      <c r="X24" t="s">
        <v>27</v>
      </c>
      <c r="Y24" t="s">
        <v>29</v>
      </c>
      <c r="Z24" t="s">
        <v>31</v>
      </c>
      <c r="AA24" s="8">
        <v>1.0000100000000001</v>
      </c>
      <c r="AB24" s="8">
        <v>0.62343700000000002</v>
      </c>
      <c r="AC24" s="6">
        <v>66.999499999999998</v>
      </c>
      <c r="AD24">
        <v>15646.9</v>
      </c>
      <c r="AE24" s="12">
        <f t="shared" si="3"/>
        <v>0</v>
      </c>
      <c r="AF24" s="12">
        <f t="shared" si="0"/>
        <v>0</v>
      </c>
      <c r="AG24" s="12">
        <f t="shared" si="1"/>
        <v>0</v>
      </c>
      <c r="AH24" s="12">
        <f t="shared" si="2"/>
        <v>0</v>
      </c>
    </row>
    <row r="25" spans="1:34" x14ac:dyDescent="0.25">
      <c r="A25">
        <v>3</v>
      </c>
      <c r="B25" s="1">
        <v>43978.907905092594</v>
      </c>
      <c r="C25" t="s">
        <v>5</v>
      </c>
      <c r="D25" s="10">
        <v>20.25</v>
      </c>
      <c r="E25" t="s">
        <v>8</v>
      </c>
      <c r="F25">
        <v>0</v>
      </c>
      <c r="G25">
        <v>0.02</v>
      </c>
      <c r="H25">
        <v>16</v>
      </c>
      <c r="I25">
        <v>5</v>
      </c>
      <c r="J25">
        <v>5</v>
      </c>
      <c r="K25" t="b">
        <v>0</v>
      </c>
      <c r="L25" t="b">
        <v>0</v>
      </c>
      <c r="M25">
        <v>603.97500000000002</v>
      </c>
      <c r="N25">
        <v>0</v>
      </c>
      <c r="O25">
        <v>2.5000000000000001E-2</v>
      </c>
      <c r="P25">
        <v>40</v>
      </c>
      <c r="Q25">
        <v>23</v>
      </c>
      <c r="R25">
        <v>-6.0099999999999997E-4</v>
      </c>
      <c r="S25">
        <v>1.3300000000000001E-4</v>
      </c>
      <c r="T25">
        <v>24.395800000000001</v>
      </c>
      <c r="U25">
        <v>1.6660999999999999</v>
      </c>
      <c r="V25">
        <v>0.95</v>
      </c>
      <c r="W25">
        <v>4</v>
      </c>
      <c r="X25" t="s">
        <v>27</v>
      </c>
      <c r="Y25" t="s">
        <v>29</v>
      </c>
      <c r="Z25" t="s">
        <v>31</v>
      </c>
      <c r="AA25" s="8">
        <v>0.98397900000000005</v>
      </c>
      <c r="AB25" s="8">
        <v>0.106284</v>
      </c>
      <c r="AC25" s="6">
        <v>165.45699999999999</v>
      </c>
      <c r="AD25">
        <v>18881.7</v>
      </c>
      <c r="AE25" s="12">
        <f t="shared" si="3"/>
        <v>-1.6030839691603127</v>
      </c>
      <c r="AF25" s="12">
        <f t="shared" si="0"/>
        <v>-82.951926176983406</v>
      </c>
      <c r="AG25" s="12">
        <f t="shared" si="1"/>
        <v>146.95258919842686</v>
      </c>
      <c r="AH25" s="12">
        <f t="shared" si="2"/>
        <v>20.673743680856926</v>
      </c>
    </row>
  </sheetData>
  <autoFilter ref="A2:AD23">
    <sortState xmlns:xlrd2="http://schemas.microsoft.com/office/spreadsheetml/2017/richdata2" ref="A3:AD24">
      <sortCondition ref="D2:D23"/>
    </sortState>
  </autoFilter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3</vt:i4>
      </vt:variant>
    </vt:vector>
  </HeadingPairs>
  <TitlesOfParts>
    <vt:vector size="6" baseType="lpstr">
      <vt:lpstr>calibration_analyzer</vt:lpstr>
      <vt:lpstr>All Percent</vt:lpstr>
      <vt:lpstr>Data</vt:lpstr>
      <vt:lpstr>Lower Corner</vt:lpstr>
      <vt:lpstr>Gain Upper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Ackerley, Nicholas</cp:lastModifiedBy>
  <dcterms:created xsi:type="dcterms:W3CDTF">2023-02-09T23:59:17Z</dcterms:created>
  <dcterms:modified xsi:type="dcterms:W3CDTF">2023-02-10T02:08:03Z</dcterms:modified>
</cp:coreProperties>
</file>